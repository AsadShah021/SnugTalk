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ads\AppData\Local\Temp\claude\C--Users-asads-Videos-SnugTalk\b33e872c-356d-436e-a017-77a46f812986\scratchpad\"/>
    </mc:Choice>
  </mc:AlternateContent>
  <xr:revisionPtr revIDLastSave="0" documentId="13_ncr:1_{A3ED4C00-5055-4566-A68D-26069FEFCC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w to test" sheetId="1" r:id="rId1"/>
    <sheet name="Test Cases" sheetId="2" r:id="rId2"/>
    <sheet name="Summary" sheetId="3" r:id="rId3"/>
  </sheets>
  <definedNames>
    <definedName name="_xlnm._FilterDatabase" localSheetId="1" hidden="1">'Test Cases'!$A$1:$K$134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B20" i="3"/>
  <c r="B19" i="3"/>
  <c r="B18" i="3"/>
  <c r="B13" i="3"/>
  <c r="B12" i="3"/>
  <c r="B11" i="3"/>
  <c r="B10" i="3"/>
  <c r="B15" i="3" s="1"/>
  <c r="B9" i="3"/>
  <c r="F24" i="3" l="1"/>
  <c r="F31" i="3"/>
  <c r="F25" i="3"/>
  <c r="F32" i="3"/>
  <c r="B14" i="3"/>
  <c r="F36" i="3"/>
  <c r="F33" i="3"/>
  <c r="F27" i="3"/>
  <c r="F28" i="3"/>
  <c r="F35" i="3"/>
  <c r="F29" i="3"/>
  <c r="F26" i="3"/>
  <c r="F30" i="3"/>
  <c r="F37" i="3"/>
  <c r="F34" i="3"/>
</calcChain>
</file>

<file path=xl/sharedStrings.xml><?xml version="1.0" encoding="utf-8"?>
<sst xmlns="http://schemas.openxmlformats.org/spreadsheetml/2006/main" count="1013" uniqueCount="675">
  <si>
    <t>SnugTalk - how to use this sheet</t>
  </si>
  <si>
    <t>What to do</t>
  </si>
  <si>
    <t>Work through the 'Test Cases' tab. For each row, follow the Steps and compare what happens with the Expected Result.</t>
  </si>
  <si>
    <t>Marking a result</t>
  </si>
  <si>
    <t>In the 'Result' column pick Pass, Fail, Blocked or N/A from the dropdown. The cell colours itself.</t>
  </si>
  <si>
    <t>Pass = behaved exactly as expected.  Fail = did not.  Blocked = could not test (something else broken).  N/A = not applicable to your device.</t>
  </si>
  <si>
    <t>If it fails</t>
  </si>
  <si>
    <t>Put what actually happened in 'Notes / Defect'. Include the page URL, what you clicked, any error text, and a screenshot filename if you took one.</t>
  </si>
  <si>
    <t>Your name and date</t>
  </si>
  <si>
    <t>Fill in Tester and Date so we know who saw what.</t>
  </si>
  <si>
    <t>Priority</t>
  </si>
  <si>
    <t>Start with High. Those are the ones that block a release.</t>
  </si>
  <si>
    <t>Filtering</t>
  </si>
  <si>
    <t>Row 1 has filter arrows - use them to show only your area, or only Fails.</t>
  </si>
  <si>
    <t>Progress</t>
  </si>
  <si>
    <t>The 'Summary' tab counts everything automatically as you mark results. Do not type into its coloured formula cells.</t>
  </si>
  <si>
    <t>Before you start</t>
  </si>
  <si>
    <t>Test accounts</t>
  </si>
  <si>
    <t>Ask the team for one MEMBER, one LISTENER and one ADMIN login. Several tests need all three.</t>
  </si>
  <si>
    <t>Throwaway account</t>
  </si>
  <si>
    <t>Some tests permanently delete an account. Create a fresh account for those - never use your main one.</t>
  </si>
  <si>
    <t>Real inbox</t>
  </si>
  <si>
    <t>Sign-up and password-reset tests need an email address you can actually open.</t>
  </si>
  <si>
    <t>Browsers</t>
  </si>
  <si>
    <t>If you can, cover Chrome, Safari and one phone. Note which you used in Notes.</t>
  </si>
  <si>
    <t>Important</t>
  </si>
  <si>
    <t>Deleting is permanent</t>
  </si>
  <si>
    <t>Account deletion cannot be undone. Only ever do it on a throwaway account.</t>
  </si>
  <si>
    <t>Do not test on real members</t>
  </si>
  <si>
    <t>If testing against the live site, do not change or delete accounts belonging to real people.</t>
  </si>
  <si>
    <t>Watch for invented content</t>
  </si>
  <si>
    <t>Several tests ask you to confirm that fake reviews, fake listeners or fake session history are NOT present. If you see a person, rating or statistic that nobody created during testing, that is a FAIL - please note exactly where.</t>
  </si>
  <si>
    <t>ID</t>
  </si>
  <si>
    <t>Area</t>
  </si>
  <si>
    <t>Test Case</t>
  </si>
  <si>
    <t>Preconditions</t>
  </si>
  <si>
    <t>Steps</t>
  </si>
  <si>
    <t>Expected Result</t>
  </si>
  <si>
    <t>Result</t>
  </si>
  <si>
    <t>Tester</t>
  </si>
  <si>
    <t>Date</t>
  </si>
  <si>
    <t>Notes / Defect</t>
  </si>
  <si>
    <t>PS-01</t>
  </si>
  <si>
    <t>Public site</t>
  </si>
  <si>
    <t>High</t>
  </si>
  <si>
    <t>Landing page loads</t>
  </si>
  <si>
    <t>None</t>
  </si>
  <si>
    <t>Open https://snugtalk.tech in a fresh browser.</t>
  </si>
  <si>
    <t>Page renders fully: hero, how it works, not-therapy, FAQ, footer. No console errors.</t>
  </si>
  <si>
    <t>PS-02</t>
  </si>
  <si>
    <t>New logo mark shows</t>
  </si>
  <si>
    <t>Look at the header logo.</t>
  </si>
  <si>
    <t>A speech bubble with a play triangle inside, in violet-to-amber gradient. NOT a spiral.</t>
  </si>
  <si>
    <t>PS-03</t>
  </si>
  <si>
    <t>Medium</t>
  </si>
  <si>
    <t>Favicon in browser tab</t>
  </si>
  <si>
    <t>Look at the browser tab icon. Also check it at a small window size.</t>
  </si>
  <si>
    <t>The bubble+play mark is visible and recognisable, not a blur or blank.</t>
  </si>
  <si>
    <t>PS-04</t>
  </si>
  <si>
    <t>Apple home-screen icon</t>
  </si>
  <si>
    <t>iPhone/iPad, Safari</t>
  </si>
  <si>
    <t>Open the site in Safari, Share, 'Add to Home Screen'.</t>
  </si>
  <si>
    <t>A violet tile with the white bubble+play mark. NOT blank or a screenshot.</t>
  </si>
  <si>
    <t>PS-05</t>
  </si>
  <si>
    <t>Social share preview</t>
  </si>
  <si>
    <t>Paste https://snugtalk.tech into WhatsApp, Slack or LinkedIn (do not send).</t>
  </si>
  <si>
    <t>A wide preview card shows: logo, 'Everyone deserves someone who truly listens.', 'Not therapy'. Not blank.</t>
  </si>
  <si>
    <t>PS-06</t>
  </si>
  <si>
    <t>Header CTA goes to sign in</t>
  </si>
  <si>
    <t>Logged out</t>
  </si>
  <si>
    <t>Click 'Get started' in the header.</t>
  </si>
  <si>
    <t>Lands on /sign-in.</t>
  </si>
  <si>
    <t>PS-07</t>
  </si>
  <si>
    <t>Hero CTA goes to sign in</t>
  </si>
  <si>
    <t>Click 'Get started' in the hero.</t>
  </si>
  <si>
    <t>Lands on /sign-in. There is only ONE button in the hero, not two.</t>
  </si>
  <si>
    <t>PS-08</t>
  </si>
  <si>
    <t>Footer links work</t>
  </si>
  <si>
    <t>Click each footer link: How it works, FAQ, Contact, Privacy policy, Terms of service.</t>
  </si>
  <si>
    <t>Each navigates correctly. Contact opens a mail client. No 404s.</t>
  </si>
  <si>
    <t>PS-09</t>
  </si>
  <si>
    <t>No fake reviews anywhere</t>
  </si>
  <si>
    <t>Scroll the whole landing page.</t>
  </si>
  <si>
    <t>NO testimonials, NO star ratings, NO '4.9/5', NO '9,600+ conversations', NO customer quotes.</t>
  </si>
  <si>
    <t>PS-10</t>
  </si>
  <si>
    <t>No invented people</t>
  </si>
  <si>
    <t>Scroll the landing page and open /chat when logged in.</t>
  </si>
  <si>
    <t>NO listener names/photos (Amara Okonkwo, Mei Lin, Daniel Reyes). NO 'X listeners online now'.</t>
  </si>
  <si>
    <t>PS-11</t>
  </si>
  <si>
    <t>FAQ accordion works</t>
  </si>
  <si>
    <t>Click each FAQ question. Click again to close. Use Tab + Enter for one.</t>
  </si>
  <si>
    <t>Answers expand and collapse. Keyboard works. Only intended item opens.</t>
  </si>
  <si>
    <t>PS-12</t>
  </si>
  <si>
    <t>Not-therapy disclaimer visible</t>
  </si>
  <si>
    <t>Scroll to the footer.</t>
  </si>
  <si>
    <t>A clear notice that SnugTalk is not therapy/counselling/crisis support.</t>
  </si>
  <si>
    <t>PS-13</t>
  </si>
  <si>
    <t>Theme toggle</t>
  </si>
  <si>
    <t>Click the light/dark toggle. Navigate to another page. Refresh.</t>
  </si>
  <si>
    <t>Theme switches, and is remembered across navigation and reload.</t>
  </si>
  <si>
    <t>PS-14</t>
  </si>
  <si>
    <t>Privacy page</t>
  </si>
  <si>
    <t>Open /privacy and read through.</t>
  </si>
  <si>
    <t>Loads. NO mention of Starter/Professional/Premium plans, and no payment processor.</t>
  </si>
  <si>
    <t>PS-15</t>
  </si>
  <si>
    <t>Terms page has no fake billing</t>
  </si>
  <si>
    <t>Open /terms and read the 'What it costs' section.</t>
  </si>
  <si>
    <t>Says free during testing. NO subscription plans, billing dates, refunds, or session allowances.</t>
  </si>
  <si>
    <t>PS-16</t>
  </si>
  <si>
    <t>Low</t>
  </si>
  <si>
    <t>404 page</t>
  </si>
  <si>
    <t>Open /some-page-that-does-not-exist.</t>
  </si>
  <si>
    <t>A branded 404 with a way back home. Not a raw error.</t>
  </si>
  <si>
    <t>PS-17</t>
  </si>
  <si>
    <t>Mobile layout 375px</t>
  </si>
  <si>
    <t>Phone or DevTools at 375px</t>
  </si>
  <si>
    <t>Load the landing page, scroll top to bottom.</t>
  </si>
  <si>
    <t>No sideways scrolling. Nothing cut off or overlapping. Text readable.</t>
  </si>
  <si>
    <t>PS-18</t>
  </si>
  <si>
    <t>Tablet layout 768px</t>
  </si>
  <si>
    <t>DevTools at 768px</t>
  </si>
  <si>
    <t>Load the landing page.</t>
  </si>
  <si>
    <t>Layout adapts cleanly, no overlap.</t>
  </si>
  <si>
    <t>AC-01</t>
  </si>
  <si>
    <t>Access control</t>
  </si>
  <si>
    <t>Logged-out user blocked from dashboard</t>
  </si>
  <si>
    <t>Go directly to /dashboard.</t>
  </si>
  <si>
    <t>Redirected to /sign-in, not shown the dashboard.</t>
  </si>
  <si>
    <t>AC-02</t>
  </si>
  <si>
    <t>Logged-out user blocked from chat</t>
  </si>
  <si>
    <t>Go directly to /chat.</t>
  </si>
  <si>
    <t>Redirected to /sign-in.</t>
  </si>
  <si>
    <t>AC-03</t>
  </si>
  <si>
    <t>Logged-out user blocked from booking</t>
  </si>
  <si>
    <t>Go directly to /book.</t>
  </si>
  <si>
    <t>AC-04</t>
  </si>
  <si>
    <t>Member cannot open admin panel</t>
  </si>
  <si>
    <t>Signed in as a member</t>
  </si>
  <si>
    <t>Go directly to /admin.</t>
  </si>
  <si>
    <t>Redirected away. Admin panel is never shown.</t>
  </si>
  <si>
    <t>AC-05</t>
  </si>
  <si>
    <t>Member cannot open team dashboard</t>
  </si>
  <si>
    <t>Go directly to /listener.</t>
  </si>
  <si>
    <t>Redirected away.</t>
  </si>
  <si>
    <t>AC-06</t>
  </si>
  <si>
    <t>Admin is kept off member screens</t>
  </si>
  <si>
    <t>Signed in as admin</t>
  </si>
  <si>
    <t>Go to /dashboard, then /chat, then /book.</t>
  </si>
  <si>
    <t>Each redirects back to /admin. An admin never sees 'Send us a message' or 'Schedule a meeting'.</t>
  </si>
  <si>
    <t>AC-07</t>
  </si>
  <si>
    <t>Listener is kept off member screens</t>
  </si>
  <si>
    <t>Signed in as a listener</t>
  </si>
  <si>
    <t>Each redirects back to /listener.</t>
  </si>
  <si>
    <t>SU-01</t>
  </si>
  <si>
    <t>Sign up</t>
  </si>
  <si>
    <t>Create an account</t>
  </si>
  <si>
    <t>Logged out, unused email</t>
  </si>
  <si>
    <t>Open /sign-up. Enter name, email, password (8+ chars). Submit.</t>
  </si>
  <si>
    <t>Account created. Sent to the verification code screen.</t>
  </si>
  <si>
    <t>SU-02</t>
  </si>
  <si>
    <t>Verification email arrives</t>
  </si>
  <si>
    <t>Just signed up</t>
  </si>
  <si>
    <t>Check the inbox for the address used.</t>
  </si>
  <si>
    <t>Email arrives within ~2 minutes with a 6-digit code. Sender and branding look correct.</t>
  </si>
  <si>
    <t>SU-03</t>
  </si>
  <si>
    <t>Verify with the correct code</t>
  </si>
  <si>
    <t>Have the emailed code</t>
  </si>
  <si>
    <t>Enter the 6 digits. Submit.</t>
  </si>
  <si>
    <t>Account verified. Lands on the dashboard.</t>
  </si>
  <si>
    <t>SU-04</t>
  </si>
  <si>
    <t>Wrong verification code rejected</t>
  </si>
  <si>
    <t>On the verify screen</t>
  </si>
  <si>
    <t>Enter 6 wrong digits. Submit.</t>
  </si>
  <si>
    <t>Clear error. Not verified. Not signed in to gated features.</t>
  </si>
  <si>
    <t>SU-05</t>
  </si>
  <si>
    <t>Too many wrong codes locks the code</t>
  </si>
  <si>
    <t>Enter a wrong code 5 times.</t>
  </si>
  <si>
    <t>After the 5th, told to request a new code. The old code no longer works even if correct.</t>
  </si>
  <si>
    <t>SU-06</t>
  </si>
  <si>
    <t>Resend code has a cooldown</t>
  </si>
  <si>
    <t>Click resend, then immediately click resend again.</t>
  </si>
  <si>
    <t>Second attempt is refused with a wait message (about 60 seconds).</t>
  </si>
  <si>
    <t>SU-07</t>
  </si>
  <si>
    <t>Duplicate email refused</t>
  </si>
  <si>
    <t>An account already exists for the email</t>
  </si>
  <si>
    <t>Try to sign up again with the same email.</t>
  </si>
  <si>
    <t>Clear message that the email is taken. No second account created.</t>
  </si>
  <si>
    <t>SU-08</t>
  </si>
  <si>
    <t>Short password refused</t>
  </si>
  <si>
    <t>Try to sign up with a 5-character password.</t>
  </si>
  <si>
    <t>Rejected with a minimum-length message. No account created.</t>
  </si>
  <si>
    <t>SU-09</t>
  </si>
  <si>
    <t>Invalid email refused</t>
  </si>
  <si>
    <t>Try to sign up with 'notanemail'.</t>
  </si>
  <si>
    <t>Rejected with a validation message.</t>
  </si>
  <si>
    <t>SU-10</t>
  </si>
  <si>
    <t>Sign up with Google</t>
  </si>
  <si>
    <t>Logged out, have a Google account</t>
  </si>
  <si>
    <t>Click 'Continue with Google' and complete it.</t>
  </si>
  <si>
    <t>Account created and signed in. No 6-digit code needed (Google already proved the address).</t>
  </si>
  <si>
    <t>SU-11</t>
  </si>
  <si>
    <t>Terms and privacy linked at sign up</t>
  </si>
  <si>
    <t>On /sign-up, click the Terms and Privacy links.</t>
  </si>
  <si>
    <t>Both open the correct pages.</t>
  </si>
  <si>
    <t>SI-01</t>
  </si>
  <si>
    <t>Sign in</t>
  </si>
  <si>
    <t>Sign in with correct details</t>
  </si>
  <si>
    <t>Verified account exists</t>
  </si>
  <si>
    <t>Open /sign-in. Enter email and password. Submit.</t>
  </si>
  <si>
    <t>Signed in and taken to the right home screen.</t>
  </si>
  <si>
    <t>SI-02</t>
  </si>
  <si>
    <t>Wrong password refused</t>
  </si>
  <si>
    <t>Enter the correct email with a wrong password.</t>
  </si>
  <si>
    <t>Refused with a message that does not reveal whether the email exists.</t>
  </si>
  <si>
    <t>SI-03</t>
  </si>
  <si>
    <t>Unknown email refused</t>
  </si>
  <si>
    <t>Enter an email with no account.</t>
  </si>
  <si>
    <t>Refused with the SAME wording as a wrong password.</t>
  </si>
  <si>
    <t>SI-04</t>
  </si>
  <si>
    <t>Member lands on the dashboard</t>
  </si>
  <si>
    <t>Member account</t>
  </si>
  <si>
    <t>Sign in as a member.</t>
  </si>
  <si>
    <t>Lands on /dashboard.</t>
  </si>
  <si>
    <t>SI-05</t>
  </si>
  <si>
    <t>Admin lands on the admin panel</t>
  </si>
  <si>
    <t>Admin account</t>
  </si>
  <si>
    <t>Sign in as an admin.</t>
  </si>
  <si>
    <t>Lands on /admin, NOT the member dashboard.</t>
  </si>
  <si>
    <t>SI-06</t>
  </si>
  <si>
    <t>Listener lands on the team dashboard</t>
  </si>
  <si>
    <t>Listener account</t>
  </si>
  <si>
    <t>Sign in as a listener.</t>
  </si>
  <si>
    <t>Lands on /listener, NOT the member dashboard.</t>
  </si>
  <si>
    <t>SI-07</t>
  </si>
  <si>
    <t>Session survives a refresh</t>
  </si>
  <si>
    <t>Signed in</t>
  </si>
  <si>
    <t>Press F5 / reload.</t>
  </si>
  <si>
    <t>Still signed in. Not bounced to sign-in.</t>
  </si>
  <si>
    <t>SI-08</t>
  </si>
  <si>
    <t>Sign out</t>
  </si>
  <si>
    <t>Use the sign-out control.</t>
  </si>
  <si>
    <t>Signed out. Going back to /dashboard now redirects to /sign-in.</t>
  </si>
  <si>
    <t>SI-09</t>
  </si>
  <si>
    <t>Repeated failed sign-ins are throttled</t>
  </si>
  <si>
    <t>Enter a wrong password more than 20 times within 15 minutes.</t>
  </si>
  <si>
    <t>Eventually refused with a 'too many attempts' message.</t>
  </si>
  <si>
    <t>SI-10</t>
  </si>
  <si>
    <t>Sign-in page wording is neutral</t>
  </si>
  <si>
    <t>Read the heading and text on /sign-in.</t>
  </si>
  <si>
    <t>Welcomes new and returning visitors. Does not only say 'Welcome back'.</t>
  </si>
  <si>
    <t>PR-01</t>
  </si>
  <si>
    <t>Password reset</t>
  </si>
  <si>
    <t>Request a reset code</t>
  </si>
  <si>
    <t>Open /forgot-password. Enter the account email. Submit.</t>
  </si>
  <si>
    <t>Moves to a screen asking for a 6-digit code and a new password.</t>
  </si>
  <si>
    <t>PR-02</t>
  </si>
  <si>
    <t>Reset email arrives</t>
  </si>
  <si>
    <t>Just requested a reset</t>
  </si>
  <si>
    <t>Check the inbox.</t>
  </si>
  <si>
    <t>Email arrives with a 6-digit reset code and says the password has not changed yet.</t>
  </si>
  <si>
    <t>PR-03</t>
  </si>
  <si>
    <t>Unknown email gives the same response</t>
  </si>
  <si>
    <t>Request a reset for an email with no account.</t>
  </si>
  <si>
    <t>EXACTLY the same screen and wording as a real account. Nothing reveals whether the account exists.</t>
  </si>
  <si>
    <t>PR-04</t>
  </si>
  <si>
    <t>Reset the password with the code</t>
  </si>
  <si>
    <t>Enter the code and a new password (8+ chars). Submit.</t>
  </si>
  <si>
    <t>Success message. Taken to /sign-in.</t>
  </si>
  <si>
    <t>PR-05</t>
  </si>
  <si>
    <t>New password works</t>
  </si>
  <si>
    <t>Just reset</t>
  </si>
  <si>
    <t>Sign in with the NEW password.</t>
  </si>
  <si>
    <t>Signs in successfully.</t>
  </si>
  <si>
    <t>PR-06</t>
  </si>
  <si>
    <t>Old password no longer works</t>
  </si>
  <si>
    <t>Sign in with the OLD password.</t>
  </si>
  <si>
    <t>Refused.</t>
  </si>
  <si>
    <t>PR-07</t>
  </si>
  <si>
    <t>Wrong reset code rejected</t>
  </si>
  <si>
    <t>On the code screen</t>
  </si>
  <si>
    <t>Enter 6 wrong digits.</t>
  </si>
  <si>
    <t>Clear error. Password unchanged.</t>
  </si>
  <si>
    <t>PR-08</t>
  </si>
  <si>
    <t>Reset code cannot be reused</t>
  </si>
  <si>
    <t>Already used a code successfully</t>
  </si>
  <si>
    <t>Try to use the same code again.</t>
  </si>
  <si>
    <t>Refused. Password unchanged.</t>
  </si>
  <si>
    <t>PR-09</t>
  </si>
  <si>
    <t>Reset code expires</t>
  </si>
  <si>
    <t>Have a code older than 10 minutes</t>
  </si>
  <si>
    <t>Enter the old code.</t>
  </si>
  <si>
    <t>Refused as wrong or expired.</t>
  </si>
  <si>
    <t>PR-10</t>
  </si>
  <si>
    <t>Short new password refused</t>
  </si>
  <si>
    <t>Enter a valid code with a 4-character password.</t>
  </si>
  <si>
    <t>Rejected for length. Password unchanged.</t>
  </si>
  <si>
    <t>PR-11</t>
  </si>
  <si>
    <t>Try another address</t>
  </si>
  <si>
    <t>Click 'Try another address'.</t>
  </si>
  <si>
    <t>Returns to the email entry step.</t>
  </si>
  <si>
    <t>MC-01</t>
  </si>
  <si>
    <t>Member - chat</t>
  </si>
  <si>
    <t>Send a message</t>
  </si>
  <si>
    <t>Open Messages / chat. Type a message and send.</t>
  </si>
  <si>
    <t>Message appears in the thread immediately.</t>
  </si>
  <si>
    <t>MC-02</t>
  </si>
  <si>
    <t>Team reply appears</t>
  </si>
  <si>
    <t>A staff member has replied</t>
  </si>
  <si>
    <t>Open the chat.</t>
  </si>
  <si>
    <t>The reply is visible, with who sent it. Ordering is correct.</t>
  </si>
  <si>
    <t>MC-03</t>
  </si>
  <si>
    <t>Long conversation scrolls</t>
  </si>
  <si>
    <t>20+ messages in the thread</t>
  </si>
  <si>
    <t>Scroll up and down the message list.</t>
  </si>
  <si>
    <t>Scrolls smoothly. Oldest messages reachable. The text box stays reachable.</t>
  </si>
  <si>
    <t>MC-04</t>
  </si>
  <si>
    <t>No canned quick replies</t>
  </si>
  <si>
    <t>Open the chat and look near the input box.</t>
  </si>
  <si>
    <t>NO suggested/quick reply chips are shown.</t>
  </si>
  <si>
    <t>MC-05</t>
  </si>
  <si>
    <t>Chat widget is visible</t>
  </si>
  <si>
    <t>Signed in as a member, on the dashboard</t>
  </si>
  <si>
    <t>Look at the bottom-right of the screen.</t>
  </si>
  <si>
    <t>A floating chat button is present.</t>
  </si>
  <si>
    <t>MC-06</t>
  </si>
  <si>
    <t>Widget shows unread count</t>
  </si>
  <si>
    <t>A staff member has just replied</t>
  </si>
  <si>
    <t>Look at the widget button without opening it.</t>
  </si>
  <si>
    <t>A badge shows the number of unread replies. '9+' if more than nine.</t>
  </si>
  <si>
    <t>MC-07</t>
  </si>
  <si>
    <t>Opening the widget clears unread</t>
  </si>
  <si>
    <t>Widget shows a badge</t>
  </si>
  <si>
    <t>Click the widget to open it.</t>
  </si>
  <si>
    <t>Panel opens, messages visible, and the badge disappears.</t>
  </si>
  <si>
    <t>MC-08</t>
  </si>
  <si>
    <t>Widget opens and closes</t>
  </si>
  <si>
    <t>Click the widget, then click again to close.</t>
  </si>
  <si>
    <t>Opens and closes reliably.</t>
  </si>
  <si>
    <t>MC-09</t>
  </si>
  <si>
    <t>Widget hidden where not needed</t>
  </si>
  <si>
    <t>Visit /chat, and (as staff) /admin and /listener.</t>
  </si>
  <si>
    <t>The floating widget does NOT appear on those pages.</t>
  </si>
  <si>
    <t>MM-01</t>
  </si>
  <si>
    <t>Member - meetings</t>
  </si>
  <si>
    <t>Request a meeting</t>
  </si>
  <si>
    <t>Open /book. Fill in name, email and topic. Submit.</t>
  </si>
  <si>
    <t>Confirmation shown. Nothing claims a time is booked yet.</t>
  </si>
  <si>
    <t>MM-02</t>
  </si>
  <si>
    <t>Booking form validates</t>
  </si>
  <si>
    <t>Submit /book with an empty topic, then with an invalid email.</t>
  </si>
  <si>
    <t>Each is rejected with a clear message.</t>
  </si>
  <si>
    <t>MM-03</t>
  </si>
  <si>
    <t>Request appears under Requested</t>
  </si>
  <si>
    <t>Just submitted a request</t>
  </si>
  <si>
    <t>Open Meetings (/dashboard/sessions).</t>
  </si>
  <si>
    <t>The request is listed under 'Requested' with its reference number and topic.</t>
  </si>
  <si>
    <t>MM-04</t>
  </si>
  <si>
    <t>Confirmed meeting shows the time</t>
  </si>
  <si>
    <t>Staff has scheduled the request</t>
  </si>
  <si>
    <t>Open Meetings.</t>
  </si>
  <si>
    <t>Appears under 'Confirmed' with the agreed date and time, and a Join button if a link was set.</t>
  </si>
  <si>
    <t>MM-05</t>
  </si>
  <si>
    <t>Join link opens</t>
  </si>
  <si>
    <t>A confirmed meeting with a link</t>
  </si>
  <si>
    <t>Click Join.</t>
  </si>
  <si>
    <t>Opens the Google Meet link in a new tab.</t>
  </si>
  <si>
    <t>MM-06</t>
  </si>
  <si>
    <t>Declined request shows as closed</t>
  </si>
  <si>
    <t>Staff has declined a request</t>
  </si>
  <si>
    <t>Appears under 'Closed' with an explanation, not silently missing.</t>
  </si>
  <si>
    <t>MM-07</t>
  </si>
  <si>
    <t>Empty state when nothing booked</t>
  </si>
  <si>
    <t>A new account with no requests</t>
  </si>
  <si>
    <t>A friendly empty state with a link to request one. NO invented past sessions, ratings or 'minutes talked'.</t>
  </si>
  <si>
    <t>MM-08</t>
  </si>
  <si>
    <t>No fake session history</t>
  </si>
  <si>
    <t>Open Meetings and read everything.</t>
  </si>
  <si>
    <t>NO sessions the tester did not create. NO star ratings. NO listener names that were never assigned.</t>
  </si>
  <si>
    <t>MS-01</t>
  </si>
  <si>
    <t>Member - settings</t>
  </si>
  <si>
    <t>Settings shows YOUR details</t>
  </si>
  <si>
    <t>Open /dashboard/settings.</t>
  </si>
  <si>
    <t>Your real name and email. NOT 'Jordan Mercer' or 'jordan@example.com'.</t>
  </si>
  <si>
    <t>MS-02</t>
  </si>
  <si>
    <t>Email is read-only</t>
  </si>
  <si>
    <t>On settings</t>
  </si>
  <si>
    <t>Try to edit the email field.</t>
  </si>
  <si>
    <t>Not editable, with a note explaining why.</t>
  </si>
  <si>
    <t>MS-03</t>
  </si>
  <si>
    <t>Save the display name</t>
  </si>
  <si>
    <t>Change the display name. Click Save. Refresh the page.</t>
  </si>
  <si>
    <t>Saved confirmation, and the new name is still there after refresh and in the sidebar.</t>
  </si>
  <si>
    <t>MS-04</t>
  </si>
  <si>
    <t>Export downloads a file</t>
  </si>
  <si>
    <t>Click 'Export all my data'.</t>
  </si>
  <si>
    <t>A .json file downloads (named snugtalk-my-data.json).</t>
  </si>
  <si>
    <t>MS-05</t>
  </si>
  <si>
    <t>Export contains your data</t>
  </si>
  <si>
    <t>Downloaded the export</t>
  </si>
  <si>
    <t>Open the JSON in a text editor.</t>
  </si>
  <si>
    <t>Contains your account details, your meeting requests, and your conversations and messages.</t>
  </si>
  <si>
    <t>MS-06</t>
  </si>
  <si>
    <t>Delete is gated</t>
  </si>
  <si>
    <t>Click 'Delete account'.</t>
  </si>
  <si>
    <t>A confirmation dialog opens. The delete button is DISABLED until DELETE is typed exactly.</t>
  </si>
  <si>
    <t>MS-07</t>
  </si>
  <si>
    <t>Delete can be cancelled</t>
  </si>
  <si>
    <t>Delete dialog open</t>
  </si>
  <si>
    <t>Click 'Keep my account'.</t>
  </si>
  <si>
    <t>Dialog closes. Account still works after refresh.</t>
  </si>
  <si>
    <t>MS-08</t>
  </si>
  <si>
    <t>Delete removes the account</t>
  </si>
  <si>
    <t>Use a THROWAWAY account</t>
  </si>
  <si>
    <t>Type DELETE, confirm.</t>
  </si>
  <si>
    <t>Signed out and returned to the public site. Signing in with those details now fails.</t>
  </si>
  <si>
    <t>MS-09</t>
  </si>
  <si>
    <t>Deleted data is really gone</t>
  </si>
  <si>
    <t>Just deleted a throwaway account</t>
  </si>
  <si>
    <t>Ask an admin to look for that user and their messages.</t>
  </si>
  <si>
    <t>The user and their conversations no longer exist. Any meeting request they made shows no name or email.</t>
  </si>
  <si>
    <t>MS-10</t>
  </si>
  <si>
    <t>No fake settings controls</t>
  </si>
  <si>
    <t>Look for timezone, session reminders, notification switches.</t>
  </si>
  <si>
    <t>These are NOT shown. Nothing on this page pretends to save when it does not.</t>
  </si>
  <si>
    <t>N-01</t>
  </si>
  <si>
    <t>Notifications</t>
  </si>
  <si>
    <t>Bell is clickable</t>
  </si>
  <si>
    <t>Click the bell in the top bar.</t>
  </si>
  <si>
    <t>A panel opens. It is not a dead button.</t>
  </si>
  <si>
    <t>N-02</t>
  </si>
  <si>
    <t>No badge when nothing waiting</t>
  </si>
  <si>
    <t>Signed in, all caught up</t>
  </si>
  <si>
    <t>Look at the bell.</t>
  </si>
  <si>
    <t>No number badge. Panel says you are all caught up.</t>
  </si>
  <si>
    <t>N-03</t>
  </si>
  <si>
    <t>Badge appears on a new reply</t>
  </si>
  <si>
    <t>A staff member just replied</t>
  </si>
  <si>
    <t>Wait up to ~15 seconds, or reload.</t>
  </si>
  <si>
    <t>A badge appears on the bell with the count.</t>
  </si>
  <si>
    <t>N-04</t>
  </si>
  <si>
    <t>Panel lists real items</t>
  </si>
  <si>
    <t>Have an unread reply</t>
  </si>
  <si>
    <t>Open the bell panel.</t>
  </si>
  <si>
    <t>Lists the actual reply. No invented notifications.</t>
  </si>
  <si>
    <t>N-05</t>
  </si>
  <si>
    <t>Clicking an item navigates</t>
  </si>
  <si>
    <t>Panel open with an item</t>
  </si>
  <si>
    <t>Click the item.</t>
  </si>
  <si>
    <t>Goes to the relevant screen and the panel closes.</t>
  </si>
  <si>
    <t>N-06</t>
  </si>
  <si>
    <t>Staff bell shows queues</t>
  </si>
  <si>
    <t>Signed in as admin or listener</t>
  </si>
  <si>
    <t>Open the bell with waiting chats and open requests.</t>
  </si>
  <si>
    <t>Lists waiting chats and requests needing a time, linking to the right queues.</t>
  </si>
  <si>
    <t>L-01</t>
  </si>
  <si>
    <t>Listener</t>
  </si>
  <si>
    <t>Team dashboard loads</t>
  </si>
  <si>
    <t>Open /listener.</t>
  </si>
  <si>
    <t>Overview loads with counts of waiting chats and open requests.</t>
  </si>
  <si>
    <t>L-02</t>
  </si>
  <si>
    <t>Shows YOUR name, not Amara</t>
  </si>
  <si>
    <t>Look at the sidebar user card and the greeting.</t>
  </si>
  <si>
    <t>Your real name and email. NOT 'Amara Okonkwo' or 'Senior listener - 6 yrs'.</t>
  </si>
  <si>
    <t>L-03</t>
  </si>
  <si>
    <t>Counts are real</t>
  </si>
  <si>
    <t>Known number of waiting chats</t>
  </si>
  <si>
    <t>Compare the overview numbers with the actual queues.</t>
  </si>
  <si>
    <t>Numbers match reality. No hardcoded badge of 4 appointments.</t>
  </si>
  <si>
    <t>L-04</t>
  </si>
  <si>
    <t>Live chats queue loads</t>
  </si>
  <si>
    <t>Open Live chats.</t>
  </si>
  <si>
    <t>Member conversations are listed, newest activity first.</t>
  </si>
  <si>
    <t>L-05</t>
  </si>
  <si>
    <t>Reply to a member</t>
  </si>
  <si>
    <t>A conversation is open</t>
  </si>
  <si>
    <t>Type a reply and send.</t>
  </si>
  <si>
    <t>Sends. The member sees it. The reply box is reachable without the page being cut off.</t>
  </si>
  <si>
    <t>L-06</t>
  </si>
  <si>
    <t>Chat inbox scrolls correctly</t>
  </si>
  <si>
    <t>A conversation with 20+ messages</t>
  </si>
  <si>
    <t>Scroll inside the message list.</t>
  </si>
  <si>
    <t>The message list scrolls INSIDE the panel. The whole page does not scroll away.</t>
  </si>
  <si>
    <t>L-07</t>
  </si>
  <si>
    <t>Meeting requests list</t>
  </si>
  <si>
    <t>Requests exist</t>
  </si>
  <si>
    <t>Open Meeting requests.</t>
  </si>
  <si>
    <t>Open requests are listed with topic and reference.</t>
  </si>
  <si>
    <t>L-08</t>
  </si>
  <si>
    <t>Schedule a request</t>
  </si>
  <si>
    <t>An open request</t>
  </si>
  <si>
    <t>Set a date/time and a Meet link, and save.</t>
  </si>
  <si>
    <t>Status becomes Scheduled. The member sees the confirmed time on their Meetings page.</t>
  </si>
  <si>
    <t>L-09</t>
  </si>
  <si>
    <t>Decline a request</t>
  </si>
  <si>
    <t>Decline it.</t>
  </si>
  <si>
    <t>Status updates. The member sees it under Closed.</t>
  </si>
  <si>
    <t>L-10</t>
  </si>
  <si>
    <t>Connection requests</t>
  </si>
  <si>
    <t>A member has asked for a listener</t>
  </si>
  <si>
    <t>Open Connection requests and accept one.</t>
  </si>
  <si>
    <t>Accepting assigns the listener and updates the member's view.</t>
  </si>
  <si>
    <t>L-11</t>
  </si>
  <si>
    <t>Availability page loads</t>
  </si>
  <si>
    <t>Open Availability.</t>
  </si>
  <si>
    <t>Loads without errors.</t>
  </si>
  <si>
    <t>L-12</t>
  </si>
  <si>
    <t>No parked pages in the menu</t>
  </si>
  <si>
    <t>Look at the sidebar.</t>
  </si>
  <si>
    <t>NO Earnings, Ratings and reviews, Session history, Client notes or Appointments links.</t>
  </si>
  <si>
    <t>A-01</t>
  </si>
  <si>
    <t>Admin</t>
  </si>
  <si>
    <t>Admin panel loads</t>
  </si>
  <si>
    <t>Signed in as an admin</t>
  </si>
  <si>
    <t>Open /admin.</t>
  </si>
  <si>
    <t>Overview loads with real stats.</t>
  </si>
  <si>
    <t>A-02</t>
  </si>
  <si>
    <t>Tickets list</t>
  </si>
  <si>
    <t>Meeting requests exist</t>
  </si>
  <si>
    <t>Open Tickets.</t>
  </si>
  <si>
    <t>All requests listed. The sidebar badge matches the number of open ones.</t>
  </si>
  <si>
    <t>A-03</t>
  </si>
  <si>
    <t>Schedule from a ticket</t>
  </si>
  <si>
    <t>An open ticket</t>
  </si>
  <si>
    <t>Approve/schedule with a time and Meet link.</t>
  </si>
  <si>
    <t>Saved. The member sees the confirmed meeting.</t>
  </si>
  <si>
    <t>A-04</t>
  </si>
  <si>
    <t>Messages inbox</t>
  </si>
  <si>
    <t>Member conversations exist</t>
  </si>
  <si>
    <t>Open Messages.</t>
  </si>
  <si>
    <t>All conversations listed with the waiting ones identifiable.</t>
  </si>
  <si>
    <t>A-05</t>
  </si>
  <si>
    <t>Reply from admin</t>
  </si>
  <si>
    <t>A conversation selected</t>
  </si>
  <si>
    <t>Scroll down, type a reply, send.</t>
  </si>
  <si>
    <t>The reply box is REACHABLE and the reply sends. This was previously unreachable.</t>
  </si>
  <si>
    <t>A-06</t>
  </si>
  <si>
    <t>Users list loads</t>
  </si>
  <si>
    <t>Users exist</t>
  </si>
  <si>
    <t>Open Users.</t>
  </si>
  <si>
    <t>All users listed with role, ticket count, message count and join date.</t>
  </si>
  <si>
    <t>A-07</t>
  </si>
  <si>
    <t>Users list scrolls to the end</t>
  </si>
  <si>
    <t>20+ users exist</t>
  </si>
  <si>
    <t>Scroll to the bottom of the Users page.</t>
  </si>
  <si>
    <t>The LAST row and the pagination controls are reachable. The table is not cut off mid-row.</t>
  </si>
  <si>
    <t>A-08</t>
  </si>
  <si>
    <t>Search users</t>
  </si>
  <si>
    <t>Type part of a name, then part of an email.</t>
  </si>
  <si>
    <t>List filters correctly for both.</t>
  </si>
  <si>
    <t>A-09</t>
  </si>
  <si>
    <t>Filter by role</t>
  </si>
  <si>
    <t>Users of each role exist</t>
  </si>
  <si>
    <t>Click Everyone, Members, Listeners, Admins.</t>
  </si>
  <si>
    <t>List filters to that role each time.</t>
  </si>
  <si>
    <t>A-10</t>
  </si>
  <si>
    <t>Pagination</t>
  </si>
  <si>
    <t>More than 20 users</t>
  </si>
  <si>
    <t>Use Next and Previous.</t>
  </si>
  <si>
    <t>Moves between pages. Buttons disable at the ends.</t>
  </si>
  <si>
    <t>A-11</t>
  </si>
  <si>
    <t>User detail page</t>
  </si>
  <si>
    <t>Click a user's name.</t>
  </si>
  <si>
    <t>Their detail page opens with their activity.</t>
  </si>
  <si>
    <t>A-12</t>
  </si>
  <si>
    <t>Impersonate a user</t>
  </si>
  <si>
    <t>Start impersonating a member.</t>
  </si>
  <si>
    <t>You see their view, and a loud banner names who you are viewing as.</t>
  </si>
  <si>
    <t>A-13</t>
  </si>
  <si>
    <t>Stop impersonating</t>
  </si>
  <si>
    <t>Currently impersonating</t>
  </si>
  <si>
    <t>Click 'Stop impersonating'.</t>
  </si>
  <si>
    <t>Returned to your own admin account. Banner disappears.</t>
  </si>
  <si>
    <t>A-14</t>
  </si>
  <si>
    <t>Change a user's role</t>
  </si>
  <si>
    <t>Change a test user's role.</t>
  </si>
  <si>
    <t>Role updates and the user gets the matching access on next sign-in.</t>
  </si>
  <si>
    <t>A-15</t>
  </si>
  <si>
    <t>Long admin pages scroll</t>
  </si>
  <si>
    <t>Any admin page with lots of content</t>
  </si>
  <si>
    <t>Scroll each of Tickets, Messages, Users to the bottom.</t>
  </si>
  <si>
    <t>All content reachable on every page. Nothing clipped.</t>
  </si>
  <si>
    <t>LAF-01</t>
  </si>
  <si>
    <t>Look and feel</t>
  </si>
  <si>
    <t>No dead controls</t>
  </si>
  <si>
    <t>Look at the dashboard top bar and the site footer.</t>
  </si>
  <si>
    <t>NO search box in the top bar. NO newsletter signup in the footer. Every visible control does something.</t>
  </si>
  <si>
    <t>LAF-02</t>
  </si>
  <si>
    <t>Badge text is readable</t>
  </si>
  <si>
    <t>Look at role and status badges on Users and Tickets, in BOTH light and dark mode.</t>
  </si>
  <si>
    <t>Text is clearly readable against its background in both themes.</t>
  </si>
  <si>
    <t>LAF-03</t>
  </si>
  <si>
    <t>Primary buttons readable</t>
  </si>
  <si>
    <t>Look at 'Get started' and other gradient buttons. Hover over them.</t>
  </si>
  <si>
    <t>White text stays clearly readable across the whole button, including on hover.</t>
  </si>
  <si>
    <t>LAF-04</t>
  </si>
  <si>
    <t>Keyboard navigation</t>
  </si>
  <si>
    <t>Tab through the landing page and the sign-in form.</t>
  </si>
  <si>
    <t>Focus is always visible. Order is sensible. Everything reachable.</t>
  </si>
  <si>
    <t>LAF-05</t>
  </si>
  <si>
    <t>Dark mode across the app</t>
  </si>
  <si>
    <t>Switch to dark mode and visit dashboard, chat, settings, admin.</t>
  </si>
  <si>
    <t>No unreadable text, invisible borders or white flashes.</t>
  </si>
  <si>
    <t>LAF-06</t>
  </si>
  <si>
    <t>Mobile tap targets</t>
  </si>
  <si>
    <t>Try tapping footer links and small buttons.</t>
  </si>
  <si>
    <t>Comfortably tappable. Nothing requires precision.</t>
  </si>
  <si>
    <t>LAF-07</t>
  </si>
  <si>
    <t>Page titles</t>
  </si>
  <si>
    <t>Check the browser tab on several pages.</t>
  </si>
  <si>
    <t>Each page has a meaningful, distinct title.</t>
  </si>
  <si>
    <t>E-01</t>
  </si>
  <si>
    <t>Email</t>
  </si>
  <si>
    <t>Verification email formatting</t>
  </si>
  <si>
    <t>Signed up</t>
  </si>
  <si>
    <t>Open the verification email on desktop and phone.</t>
  </si>
  <si>
    <t>Code is large and clear. Branding correct. No broken layout or placeholder text.</t>
  </si>
  <si>
    <t>E-02</t>
  </si>
  <si>
    <t>Reset email formatting</t>
  </si>
  <si>
    <t>Requested a reset</t>
  </si>
  <si>
    <t>Open the reset email.</t>
  </si>
  <si>
    <t>Code clear. Says the password has not changed if it was not you.</t>
  </si>
  <si>
    <t>E-03</t>
  </si>
  <si>
    <t>Emails are not in spam</t>
  </si>
  <si>
    <t>Any email sent</t>
  </si>
  <si>
    <t>Check the spam/junk folder.</t>
  </si>
  <si>
    <t>Emails arrive in the inbox, not spam.</t>
  </si>
  <si>
    <t>E-04</t>
  </si>
  <si>
    <t>Sender address is correct</t>
  </si>
  <si>
    <t>Look at the From address.</t>
  </si>
  <si>
    <t>Comes from the SnugTalk domain and looks legitimate.</t>
  </si>
  <si>
    <t>S-01</t>
  </si>
  <si>
    <t>Security</t>
  </si>
  <si>
    <t>No account enumeration at reset</t>
  </si>
  <si>
    <t>Request a reset for a real and a fake email, and compare carefully.</t>
  </si>
  <si>
    <t>Identical wording, identical screen, similar response time.</t>
  </si>
  <si>
    <t>S-02</t>
  </si>
  <si>
    <t>API rejects wrong roles</t>
  </si>
  <si>
    <t>With the member signed in, open /api/admin/stats directly in the browser.</t>
  </si>
  <si>
    <t>Refused (403/401). Data is never returned.</t>
  </si>
  <si>
    <t>S-03</t>
  </si>
  <si>
    <t>Cannot read another member's chat</t>
  </si>
  <si>
    <t>Two member accounts</t>
  </si>
  <si>
    <t>As member A, try to open member B's conversation by changing the id in the URL.</t>
  </si>
  <si>
    <t>Refused. No content from the other conversation is shown.</t>
  </si>
  <si>
    <t>S-04</t>
  </si>
  <si>
    <t>Session cookie is protected</t>
  </si>
  <si>
    <t>In DevTools, Application, Cookies, inspect the session cookie.</t>
  </si>
  <si>
    <t>Marked HttpOnly and Secure. Not readable from JavaScript.</t>
  </si>
  <si>
    <t>S-05</t>
  </si>
  <si>
    <t>Sign out clears the session</t>
  </si>
  <si>
    <t>Sign out, then press the browser Back button.</t>
  </si>
  <si>
    <t>Protected pages are not shown from cache. Redirected to sign-in.</t>
  </si>
  <si>
    <t>SnugTalk - Test Run Summary</t>
  </si>
  <si>
    <t>Release / build</t>
  </si>
  <si>
    <t>Environment</t>
  </si>
  <si>
    <t>https://snugtalk.tech</t>
  </si>
  <si>
    <t>Test run date</t>
  </si>
  <si>
    <t>Tested by</t>
  </si>
  <si>
    <t>Overall</t>
  </si>
  <si>
    <t>Total test cases</t>
  </si>
  <si>
    <t>Passed</t>
  </si>
  <si>
    <t>Failed</t>
  </si>
  <si>
    <t>Blocked</t>
  </si>
  <si>
    <t>N/A</t>
  </si>
  <si>
    <t>Not yet run</t>
  </si>
  <si>
    <t>Pass rate (of those run)</t>
  </si>
  <si>
    <t>High priority only</t>
  </si>
  <si>
    <t>High priority cases</t>
  </si>
  <si>
    <t>High passed</t>
  </si>
  <si>
    <t>High failed</t>
  </si>
  <si>
    <t>By area</t>
  </si>
  <si>
    <t>Cases</t>
  </si>
  <si>
    <t>Pass</t>
  </si>
  <si>
    <t>Fail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</si>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</sst>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6D4AFF"/>
      <name val="Arial"/>
    </font>
    <font>
      <b/>
      <sz val="11"/>
      <color rgb="FF6D4AFF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6D4A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8D5E4"/>
      </left>
      <right style="thin">
        <color rgb="FFD8D5E4"/>
      </right>
      <top style="thin">
        <color rgb="FFD8D5E4"/>
      </top>
      <bottom style="thin">
        <color rgb="FFD8D5E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6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2" fillId="3" borderId="0" xfId="0" applyFont="1" applyFill="1"/>
    <xf numFmtId="0" fontId="5" fillId="0" borderId="0" xfId="0" applyFont="1"/>
    <xf numFmtId="0" fontId="2" fillId="0" borderId="0" xfId="0" applyFont="1"/>
    <xf numFmtId="164" fontId="3" fillId="0" borderId="0" xfId="0" applyNumberFormat="1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ont>
        <sz val="10"/>
        <color rgb="FF666666"/>
        <name val="Arial"/>
      </font>
      <fill>
        <patternFill patternType="solid">
          <fgColor rgb="FFE8E8E8"/>
        </patternFill>
      </fill>
    </dxf>
    <dxf>
      <font>
        <b/>
        <sz val="10"/>
        <color rgb="FF8A61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B6B2F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defaultRowHeight="14.5" x14ac:dyDescent="0.35"/>
  <cols>
    <col min="1" max="1" width="24" customWidth="1"/>
    <col min="2" max="2" width="104" customWidth="1"/>
  </cols>
  <sheetData>
    <row r="1" spans="1:2" ht="18" x14ac:dyDescent="0.4">
      <c r="A1" s="1" t="s">
        <v>0</v>
      </c>
    </row>
    <row r="3" spans="1:2" x14ac:dyDescent="0.35">
      <c r="A3" s="2"/>
      <c r="B3" s="3"/>
    </row>
    <row r="4" spans="1:2" x14ac:dyDescent="0.35">
      <c r="A4" s="2" t="s">
        <v>1</v>
      </c>
      <c r="B4" s="3" t="s">
        <v>2</v>
      </c>
    </row>
    <row r="5" spans="1:2" x14ac:dyDescent="0.35">
      <c r="A5" s="2" t="s">
        <v>3</v>
      </c>
      <c r="B5" s="3" t="s">
        <v>4</v>
      </c>
    </row>
    <row r="6" spans="1:2" ht="25" x14ac:dyDescent="0.35">
      <c r="A6" s="2"/>
      <c r="B6" s="3" t="s">
        <v>5</v>
      </c>
    </row>
    <row r="7" spans="1:2" ht="25" x14ac:dyDescent="0.35">
      <c r="A7" s="2" t="s">
        <v>6</v>
      </c>
      <c r="B7" s="3" t="s">
        <v>7</v>
      </c>
    </row>
    <row r="8" spans="1:2" x14ac:dyDescent="0.35">
      <c r="A8" s="2" t="s">
        <v>8</v>
      </c>
      <c r="B8" s="3" t="s">
        <v>9</v>
      </c>
    </row>
    <row r="9" spans="1:2" x14ac:dyDescent="0.35">
      <c r="A9" s="2" t="s">
        <v>10</v>
      </c>
      <c r="B9" s="3" t="s">
        <v>11</v>
      </c>
    </row>
    <row r="10" spans="1:2" x14ac:dyDescent="0.35">
      <c r="A10" s="2" t="s">
        <v>12</v>
      </c>
      <c r="B10" s="3" t="s">
        <v>13</v>
      </c>
    </row>
    <row r="11" spans="1:2" x14ac:dyDescent="0.35">
      <c r="A11" s="2" t="s">
        <v>14</v>
      </c>
      <c r="B11" s="3" t="s">
        <v>15</v>
      </c>
    </row>
    <row r="12" spans="1:2" x14ac:dyDescent="0.35">
      <c r="A12" s="2"/>
      <c r="B12" s="3"/>
    </row>
    <row r="13" spans="1:2" x14ac:dyDescent="0.35">
      <c r="A13" s="4" t="s">
        <v>16</v>
      </c>
      <c r="B13" s="3"/>
    </row>
    <row r="14" spans="1:2" x14ac:dyDescent="0.35">
      <c r="A14" s="2" t="s">
        <v>17</v>
      </c>
      <c r="B14" s="3" t="s">
        <v>18</v>
      </c>
    </row>
    <row r="15" spans="1:2" x14ac:dyDescent="0.35">
      <c r="A15" s="2" t="s">
        <v>19</v>
      </c>
      <c r="B15" s="3" t="s">
        <v>20</v>
      </c>
    </row>
    <row r="16" spans="1:2" x14ac:dyDescent="0.35">
      <c r="A16" s="2" t="s">
        <v>21</v>
      </c>
      <c r="B16" s="3" t="s">
        <v>22</v>
      </c>
    </row>
    <row r="17" spans="1:2" x14ac:dyDescent="0.35">
      <c r="A17" s="2" t="s">
        <v>23</v>
      </c>
      <c r="B17" s="3" t="s">
        <v>24</v>
      </c>
    </row>
    <row r="18" spans="1:2" x14ac:dyDescent="0.35">
      <c r="A18" s="2"/>
      <c r="B18" s="3"/>
    </row>
    <row r="19" spans="1:2" x14ac:dyDescent="0.35">
      <c r="A19" s="4" t="s">
        <v>25</v>
      </c>
      <c r="B19" s="3"/>
    </row>
    <row r="20" spans="1:2" x14ac:dyDescent="0.35">
      <c r="A20" s="2" t="s">
        <v>26</v>
      </c>
      <c r="B20" s="3" t="s">
        <v>27</v>
      </c>
    </row>
    <row r="21" spans="1:2" x14ac:dyDescent="0.35">
      <c r="A21" s="2" t="s">
        <v>28</v>
      </c>
      <c r="B21" s="3" t="s">
        <v>29</v>
      </c>
    </row>
    <row r="22" spans="1:2" ht="25" x14ac:dyDescent="0.35">
      <c r="A22" s="2" t="s">
        <v>30</v>
      </c>
      <c r="B22" s="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" customWidth="1"/>
    <col min="2" max="2" width="16" customWidth="1"/>
    <col min="3" max="3" width="9" customWidth="1"/>
    <col min="4" max="4" width="30" customWidth="1"/>
    <col min="5" max="5" width="24" customWidth="1"/>
    <col min="6" max="6" width="44" customWidth="1"/>
    <col min="7" max="7" width="52" customWidth="1"/>
    <col min="8" max="8" width="11" customWidth="1"/>
    <col min="9" max="9" width="13" customWidth="1"/>
    <col min="10" max="10" width="11" customWidth="1"/>
    <col min="11" max="11" width="30" customWidth="1"/>
  </cols>
  <sheetData>
    <row r="1" spans="1:11" ht="30" customHeight="1" x14ac:dyDescent="0.35">
      <c r="A1" s="5" t="s">
        <v>32</v>
      </c>
      <c r="B1" s="5" t="s">
        <v>33</v>
      </c>
      <c r="C1" s="5" t="s">
        <v>10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</row>
    <row r="2" spans="1:11" ht="25" x14ac:dyDescent="0.35">
      <c r="A2" s="6" t="s">
        <v>42</v>
      </c>
      <c r="B2" s="7" t="s">
        <v>43</v>
      </c>
      <c r="C2" s="8" t="s">
        <v>44</v>
      </c>
      <c r="D2" s="9" t="s">
        <v>45</v>
      </c>
      <c r="E2" s="9" t="s">
        <v>46</v>
      </c>
      <c r="F2" s="9" t="s">
        <v>47</v>
      </c>
      <c r="G2" s="9" t="s">
        <v>48</v>
      </c>
      <c r="H2" s="10"/>
      <c r="I2" s="7"/>
      <c r="J2" s="7"/>
      <c r="K2" s="9"/>
    </row>
    <row r="3" spans="1:11" ht="25" x14ac:dyDescent="0.35">
      <c r="A3" s="6" t="s">
        <v>49</v>
      </c>
      <c r="B3" s="7" t="s">
        <v>43</v>
      </c>
      <c r="C3" s="8" t="s">
        <v>44</v>
      </c>
      <c r="D3" s="9" t="s">
        <v>50</v>
      </c>
      <c r="E3" s="9" t="s">
        <v>46</v>
      </c>
      <c r="F3" s="9" t="s">
        <v>51</v>
      </c>
      <c r="G3" s="9" t="s">
        <v>52</v>
      </c>
      <c r="H3" s="10"/>
      <c r="I3" s="7"/>
      <c r="J3" s="7"/>
      <c r="K3" s="9"/>
    </row>
    <row r="4" spans="1:11" ht="25" x14ac:dyDescent="0.35">
      <c r="A4" s="6" t="s">
        <v>53</v>
      </c>
      <c r="B4" s="7" t="s">
        <v>43</v>
      </c>
      <c r="C4" s="8" t="s">
        <v>54</v>
      </c>
      <c r="D4" s="9" t="s">
        <v>55</v>
      </c>
      <c r="E4" s="9" t="s">
        <v>46</v>
      </c>
      <c r="F4" s="9" t="s">
        <v>56</v>
      </c>
      <c r="G4" s="9" t="s">
        <v>57</v>
      </c>
      <c r="H4" s="10"/>
      <c r="I4" s="7"/>
      <c r="J4" s="7"/>
      <c r="K4" s="9"/>
    </row>
    <row r="5" spans="1:11" ht="25" x14ac:dyDescent="0.35">
      <c r="A5" s="6" t="s">
        <v>58</v>
      </c>
      <c r="B5" s="7" t="s">
        <v>43</v>
      </c>
      <c r="C5" s="8" t="s">
        <v>54</v>
      </c>
      <c r="D5" s="9" t="s">
        <v>59</v>
      </c>
      <c r="E5" s="9" t="s">
        <v>60</v>
      </c>
      <c r="F5" s="9" t="s">
        <v>61</v>
      </c>
      <c r="G5" s="9" t="s">
        <v>62</v>
      </c>
      <c r="H5" s="10"/>
      <c r="I5" s="7"/>
      <c r="J5" s="7"/>
      <c r="K5" s="9"/>
    </row>
    <row r="6" spans="1:11" ht="25" x14ac:dyDescent="0.35">
      <c r="A6" s="6" t="s">
        <v>63</v>
      </c>
      <c r="B6" s="7" t="s">
        <v>43</v>
      </c>
      <c r="C6" s="8" t="s">
        <v>54</v>
      </c>
      <c r="D6" s="9" t="s">
        <v>64</v>
      </c>
      <c r="E6" s="9" t="s">
        <v>46</v>
      </c>
      <c r="F6" s="9" t="s">
        <v>65</v>
      </c>
      <c r="G6" s="9" t="s">
        <v>66</v>
      </c>
      <c r="H6" s="10"/>
      <c r="I6" s="7"/>
      <c r="J6" s="7"/>
      <c r="K6" s="9"/>
    </row>
    <row r="7" spans="1:11" x14ac:dyDescent="0.35">
      <c r="A7" s="6" t="s">
        <v>67</v>
      </c>
      <c r="B7" s="7" t="s">
        <v>43</v>
      </c>
      <c r="C7" s="8" t="s">
        <v>44</v>
      </c>
      <c r="D7" s="9" t="s">
        <v>68</v>
      </c>
      <c r="E7" s="9" t="s">
        <v>69</v>
      </c>
      <c r="F7" s="9" t="s">
        <v>70</v>
      </c>
      <c r="G7" s="9" t="s">
        <v>71</v>
      </c>
      <c r="H7" s="10"/>
      <c r="I7" s="7"/>
      <c r="J7" s="7"/>
      <c r="K7" s="9"/>
    </row>
    <row r="8" spans="1:11" ht="25" x14ac:dyDescent="0.35">
      <c r="A8" s="6" t="s">
        <v>72</v>
      </c>
      <c r="B8" s="7" t="s">
        <v>43</v>
      </c>
      <c r="C8" s="8" t="s">
        <v>44</v>
      </c>
      <c r="D8" s="9" t="s">
        <v>73</v>
      </c>
      <c r="E8" s="9" t="s">
        <v>69</v>
      </c>
      <c r="F8" s="9" t="s">
        <v>74</v>
      </c>
      <c r="G8" s="9" t="s">
        <v>75</v>
      </c>
      <c r="H8" s="10"/>
      <c r="I8" s="7"/>
      <c r="J8" s="7"/>
      <c r="K8" s="9"/>
    </row>
    <row r="9" spans="1:11" ht="25" x14ac:dyDescent="0.35">
      <c r="A9" s="6" t="s">
        <v>76</v>
      </c>
      <c r="B9" s="7" t="s">
        <v>43</v>
      </c>
      <c r="C9" s="8" t="s">
        <v>54</v>
      </c>
      <c r="D9" s="9" t="s">
        <v>77</v>
      </c>
      <c r="E9" s="9" t="s">
        <v>46</v>
      </c>
      <c r="F9" s="9" t="s">
        <v>78</v>
      </c>
      <c r="G9" s="9" t="s">
        <v>79</v>
      </c>
      <c r="H9" s="10"/>
      <c r="I9" s="7"/>
      <c r="J9" s="7"/>
      <c r="K9" s="9"/>
    </row>
    <row r="10" spans="1:11" ht="25" x14ac:dyDescent="0.35">
      <c r="A10" s="6" t="s">
        <v>80</v>
      </c>
      <c r="B10" s="7" t="s">
        <v>43</v>
      </c>
      <c r="C10" s="8" t="s">
        <v>44</v>
      </c>
      <c r="D10" s="9" t="s">
        <v>81</v>
      </c>
      <c r="E10" s="9" t="s">
        <v>46</v>
      </c>
      <c r="F10" s="9" t="s">
        <v>82</v>
      </c>
      <c r="G10" s="9" t="s">
        <v>83</v>
      </c>
      <c r="H10" s="10"/>
      <c r="I10" s="7"/>
      <c r="J10" s="7"/>
      <c r="K10" s="9"/>
    </row>
    <row r="11" spans="1:11" ht="25" x14ac:dyDescent="0.35">
      <c r="A11" s="6" t="s">
        <v>84</v>
      </c>
      <c r="B11" s="7" t="s">
        <v>43</v>
      </c>
      <c r="C11" s="8" t="s">
        <v>44</v>
      </c>
      <c r="D11" s="9" t="s">
        <v>85</v>
      </c>
      <c r="E11" s="9" t="s">
        <v>46</v>
      </c>
      <c r="F11" s="9" t="s">
        <v>86</v>
      </c>
      <c r="G11" s="9" t="s">
        <v>87</v>
      </c>
      <c r="H11" s="10"/>
      <c r="I11" s="7"/>
      <c r="J11" s="7"/>
      <c r="K11" s="9"/>
    </row>
    <row r="12" spans="1:11" ht="25" x14ac:dyDescent="0.35">
      <c r="A12" s="6" t="s">
        <v>88</v>
      </c>
      <c r="B12" s="7" t="s">
        <v>43</v>
      </c>
      <c r="C12" s="8" t="s">
        <v>54</v>
      </c>
      <c r="D12" s="9" t="s">
        <v>89</v>
      </c>
      <c r="E12" s="9" t="s">
        <v>46</v>
      </c>
      <c r="F12" s="9" t="s">
        <v>90</v>
      </c>
      <c r="G12" s="9" t="s">
        <v>91</v>
      </c>
      <c r="H12" s="10"/>
      <c r="I12" s="7"/>
      <c r="J12" s="7"/>
      <c r="K12" s="9"/>
    </row>
    <row r="13" spans="1:11" ht="25" x14ac:dyDescent="0.35">
      <c r="A13" s="6" t="s">
        <v>92</v>
      </c>
      <c r="B13" s="7" t="s">
        <v>43</v>
      </c>
      <c r="C13" s="8" t="s">
        <v>44</v>
      </c>
      <c r="D13" s="9" t="s">
        <v>93</v>
      </c>
      <c r="E13" s="9" t="s">
        <v>46</v>
      </c>
      <c r="F13" s="9" t="s">
        <v>94</v>
      </c>
      <c r="G13" s="9" t="s">
        <v>95</v>
      </c>
      <c r="H13" s="10"/>
      <c r="I13" s="7"/>
      <c r="J13" s="7"/>
      <c r="K13" s="9"/>
    </row>
    <row r="14" spans="1:11" ht="25" x14ac:dyDescent="0.35">
      <c r="A14" s="6" t="s">
        <v>96</v>
      </c>
      <c r="B14" s="7" t="s">
        <v>43</v>
      </c>
      <c r="C14" s="8" t="s">
        <v>54</v>
      </c>
      <c r="D14" s="9" t="s">
        <v>97</v>
      </c>
      <c r="E14" s="9" t="s">
        <v>46</v>
      </c>
      <c r="F14" s="9" t="s">
        <v>98</v>
      </c>
      <c r="G14" s="9" t="s">
        <v>99</v>
      </c>
      <c r="H14" s="10"/>
      <c r="I14" s="7"/>
      <c r="J14" s="7"/>
      <c r="K14" s="9"/>
    </row>
    <row r="15" spans="1:11" ht="25" x14ac:dyDescent="0.35">
      <c r="A15" s="6" t="s">
        <v>100</v>
      </c>
      <c r="B15" s="7" t="s">
        <v>43</v>
      </c>
      <c r="C15" s="8" t="s">
        <v>54</v>
      </c>
      <c r="D15" s="9" t="s">
        <v>101</v>
      </c>
      <c r="E15" s="9" t="s">
        <v>46</v>
      </c>
      <c r="F15" s="9" t="s">
        <v>102</v>
      </c>
      <c r="G15" s="9" t="s">
        <v>103</v>
      </c>
      <c r="H15" s="10"/>
      <c r="I15" s="7"/>
      <c r="J15" s="7"/>
      <c r="K15" s="9"/>
    </row>
    <row r="16" spans="1:11" ht="25" x14ac:dyDescent="0.35">
      <c r="A16" s="6" t="s">
        <v>104</v>
      </c>
      <c r="B16" s="7" t="s">
        <v>43</v>
      </c>
      <c r="C16" s="8" t="s">
        <v>44</v>
      </c>
      <c r="D16" s="9" t="s">
        <v>105</v>
      </c>
      <c r="E16" s="9" t="s">
        <v>46</v>
      </c>
      <c r="F16" s="9" t="s">
        <v>106</v>
      </c>
      <c r="G16" s="9" t="s">
        <v>107</v>
      </c>
      <c r="H16" s="10"/>
      <c r="I16" s="7"/>
      <c r="J16" s="7"/>
      <c r="K16" s="9"/>
    </row>
    <row r="17" spans="1:11" x14ac:dyDescent="0.35">
      <c r="A17" s="6" t="s">
        <v>108</v>
      </c>
      <c r="B17" s="7" t="s">
        <v>43</v>
      </c>
      <c r="C17" s="8" t="s">
        <v>109</v>
      </c>
      <c r="D17" s="9" t="s">
        <v>110</v>
      </c>
      <c r="E17" s="9" t="s">
        <v>46</v>
      </c>
      <c r="F17" s="9" t="s">
        <v>111</v>
      </c>
      <c r="G17" s="9" t="s">
        <v>112</v>
      </c>
      <c r="H17" s="10"/>
      <c r="I17" s="7"/>
      <c r="J17" s="7"/>
      <c r="K17" s="9"/>
    </row>
    <row r="18" spans="1:11" ht="25" x14ac:dyDescent="0.35">
      <c r="A18" s="6" t="s">
        <v>113</v>
      </c>
      <c r="B18" s="7" t="s">
        <v>43</v>
      </c>
      <c r="C18" s="8" t="s">
        <v>54</v>
      </c>
      <c r="D18" s="9" t="s">
        <v>114</v>
      </c>
      <c r="E18" s="9" t="s">
        <v>115</v>
      </c>
      <c r="F18" s="9" t="s">
        <v>116</v>
      </c>
      <c r="G18" s="9" t="s">
        <v>117</v>
      </c>
      <c r="H18" s="10"/>
      <c r="I18" s="7"/>
      <c r="J18" s="7"/>
      <c r="K18" s="9"/>
    </row>
    <row r="19" spans="1:11" x14ac:dyDescent="0.35">
      <c r="A19" s="6" t="s">
        <v>118</v>
      </c>
      <c r="B19" s="7" t="s">
        <v>43</v>
      </c>
      <c r="C19" s="8" t="s">
        <v>54</v>
      </c>
      <c r="D19" s="9" t="s">
        <v>119</v>
      </c>
      <c r="E19" s="9" t="s">
        <v>120</v>
      </c>
      <c r="F19" s="9" t="s">
        <v>121</v>
      </c>
      <c r="G19" s="9" t="s">
        <v>122</v>
      </c>
      <c r="H19" s="10"/>
      <c r="I19" s="7"/>
      <c r="J19" s="7"/>
      <c r="K19" s="9"/>
    </row>
    <row r="20" spans="1:11" ht="25" x14ac:dyDescent="0.35">
      <c r="A20" s="6" t="s">
        <v>123</v>
      </c>
      <c r="B20" s="7" t="s">
        <v>124</v>
      </c>
      <c r="C20" s="8" t="s">
        <v>44</v>
      </c>
      <c r="D20" s="9" t="s">
        <v>125</v>
      </c>
      <c r="E20" s="9" t="s">
        <v>69</v>
      </c>
      <c r="F20" s="9" t="s">
        <v>126</v>
      </c>
      <c r="G20" s="9" t="s">
        <v>127</v>
      </c>
      <c r="H20" s="10"/>
      <c r="I20" s="7"/>
      <c r="J20" s="7"/>
      <c r="K20" s="9"/>
    </row>
    <row r="21" spans="1:11" x14ac:dyDescent="0.35">
      <c r="A21" s="6" t="s">
        <v>128</v>
      </c>
      <c r="B21" s="7" t="s">
        <v>124</v>
      </c>
      <c r="C21" s="8" t="s">
        <v>44</v>
      </c>
      <c r="D21" s="9" t="s">
        <v>129</v>
      </c>
      <c r="E21" s="9" t="s">
        <v>69</v>
      </c>
      <c r="F21" s="9" t="s">
        <v>130</v>
      </c>
      <c r="G21" s="9" t="s">
        <v>131</v>
      </c>
      <c r="H21" s="10"/>
      <c r="I21" s="7"/>
      <c r="J21" s="7"/>
      <c r="K21" s="9"/>
    </row>
    <row r="22" spans="1:11" ht="25" x14ac:dyDescent="0.35">
      <c r="A22" s="6" t="s">
        <v>132</v>
      </c>
      <c r="B22" s="7" t="s">
        <v>124</v>
      </c>
      <c r="C22" s="8" t="s">
        <v>44</v>
      </c>
      <c r="D22" s="9" t="s">
        <v>133</v>
      </c>
      <c r="E22" s="9" t="s">
        <v>69</v>
      </c>
      <c r="F22" s="9" t="s">
        <v>134</v>
      </c>
      <c r="G22" s="9" t="s">
        <v>131</v>
      </c>
      <c r="H22" s="10"/>
      <c r="I22" s="7"/>
      <c r="J22" s="7"/>
      <c r="K22" s="9"/>
    </row>
    <row r="23" spans="1:11" x14ac:dyDescent="0.35">
      <c r="A23" s="6" t="s">
        <v>135</v>
      </c>
      <c r="B23" s="7" t="s">
        <v>124</v>
      </c>
      <c r="C23" s="8" t="s">
        <v>44</v>
      </c>
      <c r="D23" s="9" t="s">
        <v>136</v>
      </c>
      <c r="E23" s="9" t="s">
        <v>137</v>
      </c>
      <c r="F23" s="9" t="s">
        <v>138</v>
      </c>
      <c r="G23" s="9" t="s">
        <v>139</v>
      </c>
      <c r="H23" s="10"/>
      <c r="I23" s="7"/>
      <c r="J23" s="7"/>
      <c r="K23" s="9"/>
    </row>
    <row r="24" spans="1:11" ht="25" x14ac:dyDescent="0.35">
      <c r="A24" s="6" t="s">
        <v>140</v>
      </c>
      <c r="B24" s="7" t="s">
        <v>124</v>
      </c>
      <c r="C24" s="8" t="s">
        <v>44</v>
      </c>
      <c r="D24" s="9" t="s">
        <v>141</v>
      </c>
      <c r="E24" s="9" t="s">
        <v>137</v>
      </c>
      <c r="F24" s="9" t="s">
        <v>142</v>
      </c>
      <c r="G24" s="9" t="s">
        <v>143</v>
      </c>
      <c r="H24" s="10"/>
      <c r="I24" s="7"/>
      <c r="J24" s="7"/>
      <c r="K24" s="9"/>
    </row>
    <row r="25" spans="1:11" ht="25" x14ac:dyDescent="0.35">
      <c r="A25" s="6" t="s">
        <v>144</v>
      </c>
      <c r="B25" s="7" t="s">
        <v>124</v>
      </c>
      <c r="C25" s="8" t="s">
        <v>44</v>
      </c>
      <c r="D25" s="9" t="s">
        <v>145</v>
      </c>
      <c r="E25" s="9" t="s">
        <v>146</v>
      </c>
      <c r="F25" s="9" t="s">
        <v>147</v>
      </c>
      <c r="G25" s="9" t="s">
        <v>148</v>
      </c>
      <c r="H25" s="10"/>
      <c r="I25" s="7"/>
      <c r="J25" s="7"/>
      <c r="K25" s="9"/>
    </row>
    <row r="26" spans="1:11" x14ac:dyDescent="0.35">
      <c r="A26" s="6" t="s">
        <v>149</v>
      </c>
      <c r="B26" s="7" t="s">
        <v>124</v>
      </c>
      <c r="C26" s="8" t="s">
        <v>44</v>
      </c>
      <c r="D26" s="9" t="s">
        <v>150</v>
      </c>
      <c r="E26" s="9" t="s">
        <v>151</v>
      </c>
      <c r="F26" s="9" t="s">
        <v>147</v>
      </c>
      <c r="G26" s="9" t="s">
        <v>152</v>
      </c>
      <c r="H26" s="10"/>
      <c r="I26" s="7"/>
      <c r="J26" s="7"/>
      <c r="K26" s="9"/>
    </row>
    <row r="27" spans="1:11" ht="25" x14ac:dyDescent="0.35">
      <c r="A27" s="6" t="s">
        <v>153</v>
      </c>
      <c r="B27" s="7" t="s">
        <v>154</v>
      </c>
      <c r="C27" s="8" t="s">
        <v>44</v>
      </c>
      <c r="D27" s="9" t="s">
        <v>155</v>
      </c>
      <c r="E27" s="9" t="s">
        <v>156</v>
      </c>
      <c r="F27" s="9" t="s">
        <v>157</v>
      </c>
      <c r="G27" s="9" t="s">
        <v>158</v>
      </c>
      <c r="H27" s="10"/>
      <c r="I27" s="7"/>
      <c r="J27" s="7"/>
      <c r="K27" s="9"/>
    </row>
    <row r="28" spans="1:11" ht="25" x14ac:dyDescent="0.35">
      <c r="A28" s="6" t="s">
        <v>159</v>
      </c>
      <c r="B28" s="7" t="s">
        <v>154</v>
      </c>
      <c r="C28" s="8" t="s">
        <v>44</v>
      </c>
      <c r="D28" s="9" t="s">
        <v>160</v>
      </c>
      <c r="E28" s="9" t="s">
        <v>161</v>
      </c>
      <c r="F28" s="9" t="s">
        <v>162</v>
      </c>
      <c r="G28" s="9" t="s">
        <v>163</v>
      </c>
      <c r="H28" s="10"/>
      <c r="I28" s="7"/>
      <c r="J28" s="7"/>
      <c r="K28" s="9"/>
    </row>
    <row r="29" spans="1:11" x14ac:dyDescent="0.35">
      <c r="A29" s="6" t="s">
        <v>164</v>
      </c>
      <c r="B29" s="7" t="s">
        <v>154</v>
      </c>
      <c r="C29" s="8" t="s">
        <v>44</v>
      </c>
      <c r="D29" s="9" t="s">
        <v>165</v>
      </c>
      <c r="E29" s="9" t="s">
        <v>166</v>
      </c>
      <c r="F29" s="9" t="s">
        <v>167</v>
      </c>
      <c r="G29" s="9" t="s">
        <v>168</v>
      </c>
      <c r="H29" s="10"/>
      <c r="I29" s="7"/>
      <c r="J29" s="7"/>
      <c r="K29" s="9"/>
    </row>
    <row r="30" spans="1:11" x14ac:dyDescent="0.35">
      <c r="A30" s="6" t="s">
        <v>169</v>
      </c>
      <c r="B30" s="7" t="s">
        <v>154</v>
      </c>
      <c r="C30" s="8" t="s">
        <v>44</v>
      </c>
      <c r="D30" s="9" t="s">
        <v>170</v>
      </c>
      <c r="E30" s="9" t="s">
        <v>171</v>
      </c>
      <c r="F30" s="9" t="s">
        <v>172</v>
      </c>
      <c r="G30" s="9" t="s">
        <v>173</v>
      </c>
      <c r="H30" s="10"/>
      <c r="I30" s="7"/>
      <c r="J30" s="7"/>
      <c r="K30" s="9"/>
    </row>
    <row r="31" spans="1:11" ht="25" x14ac:dyDescent="0.35">
      <c r="A31" s="6" t="s">
        <v>174</v>
      </c>
      <c r="B31" s="7" t="s">
        <v>154</v>
      </c>
      <c r="C31" s="8" t="s">
        <v>54</v>
      </c>
      <c r="D31" s="9" t="s">
        <v>175</v>
      </c>
      <c r="E31" s="9" t="s">
        <v>171</v>
      </c>
      <c r="F31" s="9" t="s">
        <v>176</v>
      </c>
      <c r="G31" s="9" t="s">
        <v>177</v>
      </c>
      <c r="H31" s="10"/>
      <c r="I31" s="7"/>
      <c r="J31" s="7"/>
      <c r="K31" s="9"/>
    </row>
    <row r="32" spans="1:11" ht="25" x14ac:dyDescent="0.35">
      <c r="A32" s="6" t="s">
        <v>178</v>
      </c>
      <c r="B32" s="7" t="s">
        <v>154</v>
      </c>
      <c r="C32" s="8" t="s">
        <v>54</v>
      </c>
      <c r="D32" s="9" t="s">
        <v>179</v>
      </c>
      <c r="E32" s="9" t="s">
        <v>171</v>
      </c>
      <c r="F32" s="9" t="s">
        <v>180</v>
      </c>
      <c r="G32" s="9" t="s">
        <v>181</v>
      </c>
      <c r="H32" s="10"/>
      <c r="I32" s="7"/>
      <c r="J32" s="7"/>
      <c r="K32" s="9"/>
    </row>
    <row r="33" spans="1:11" ht="25" x14ac:dyDescent="0.35">
      <c r="A33" s="6" t="s">
        <v>182</v>
      </c>
      <c r="B33" s="7" t="s">
        <v>154</v>
      </c>
      <c r="C33" s="8" t="s">
        <v>44</v>
      </c>
      <c r="D33" s="9" t="s">
        <v>183</v>
      </c>
      <c r="E33" s="9" t="s">
        <v>184</v>
      </c>
      <c r="F33" s="9" t="s">
        <v>185</v>
      </c>
      <c r="G33" s="9" t="s">
        <v>186</v>
      </c>
      <c r="H33" s="10"/>
      <c r="I33" s="7"/>
      <c r="J33" s="7"/>
      <c r="K33" s="9"/>
    </row>
    <row r="34" spans="1:11" x14ac:dyDescent="0.35">
      <c r="A34" s="6" t="s">
        <v>187</v>
      </c>
      <c r="B34" s="7" t="s">
        <v>154</v>
      </c>
      <c r="C34" s="8" t="s">
        <v>54</v>
      </c>
      <c r="D34" s="9" t="s">
        <v>188</v>
      </c>
      <c r="E34" s="9" t="s">
        <v>69</v>
      </c>
      <c r="F34" s="9" t="s">
        <v>189</v>
      </c>
      <c r="G34" s="9" t="s">
        <v>190</v>
      </c>
      <c r="H34" s="10"/>
      <c r="I34" s="7"/>
      <c r="J34" s="7"/>
      <c r="K34" s="9"/>
    </row>
    <row r="35" spans="1:11" x14ac:dyDescent="0.35">
      <c r="A35" s="6" t="s">
        <v>191</v>
      </c>
      <c r="B35" s="7" t="s">
        <v>154</v>
      </c>
      <c r="C35" s="8" t="s">
        <v>54</v>
      </c>
      <c r="D35" s="9" t="s">
        <v>192</v>
      </c>
      <c r="E35" s="9" t="s">
        <v>69</v>
      </c>
      <c r="F35" s="9" t="s">
        <v>193</v>
      </c>
      <c r="G35" s="9" t="s">
        <v>194</v>
      </c>
      <c r="H35" s="10"/>
      <c r="I35" s="7"/>
      <c r="J35" s="7"/>
      <c r="K35" s="9"/>
    </row>
    <row r="36" spans="1:11" ht="25" x14ac:dyDescent="0.35">
      <c r="A36" s="6" t="s">
        <v>195</v>
      </c>
      <c r="B36" s="7" t="s">
        <v>154</v>
      </c>
      <c r="C36" s="8" t="s">
        <v>54</v>
      </c>
      <c r="D36" s="9" t="s">
        <v>196</v>
      </c>
      <c r="E36" s="9" t="s">
        <v>197</v>
      </c>
      <c r="F36" s="9" t="s">
        <v>198</v>
      </c>
      <c r="G36" s="9" t="s">
        <v>199</v>
      </c>
      <c r="H36" s="10"/>
      <c r="I36" s="7"/>
      <c r="J36" s="7"/>
      <c r="K36" s="9"/>
    </row>
    <row r="37" spans="1:11" x14ac:dyDescent="0.35">
      <c r="A37" s="6" t="s">
        <v>200</v>
      </c>
      <c r="B37" s="7" t="s">
        <v>154</v>
      </c>
      <c r="C37" s="8" t="s">
        <v>54</v>
      </c>
      <c r="D37" s="9" t="s">
        <v>201</v>
      </c>
      <c r="E37" s="9" t="s">
        <v>69</v>
      </c>
      <c r="F37" s="9" t="s">
        <v>202</v>
      </c>
      <c r="G37" s="9" t="s">
        <v>203</v>
      </c>
      <c r="H37" s="10"/>
      <c r="I37" s="7"/>
      <c r="J37" s="7"/>
      <c r="K37" s="9"/>
    </row>
    <row r="38" spans="1:11" x14ac:dyDescent="0.35">
      <c r="A38" s="6" t="s">
        <v>204</v>
      </c>
      <c r="B38" s="7" t="s">
        <v>205</v>
      </c>
      <c r="C38" s="8" t="s">
        <v>44</v>
      </c>
      <c r="D38" s="9" t="s">
        <v>206</v>
      </c>
      <c r="E38" s="9" t="s">
        <v>207</v>
      </c>
      <c r="F38" s="9" t="s">
        <v>208</v>
      </c>
      <c r="G38" s="9" t="s">
        <v>209</v>
      </c>
      <c r="H38" s="10"/>
      <c r="I38" s="7"/>
      <c r="J38" s="7"/>
      <c r="K38" s="9"/>
    </row>
    <row r="39" spans="1:11" ht="25" x14ac:dyDescent="0.35">
      <c r="A39" s="6" t="s">
        <v>210</v>
      </c>
      <c r="B39" s="7" t="s">
        <v>205</v>
      </c>
      <c r="C39" s="8" t="s">
        <v>44</v>
      </c>
      <c r="D39" s="9" t="s">
        <v>211</v>
      </c>
      <c r="E39" s="9" t="s">
        <v>207</v>
      </c>
      <c r="F39" s="9" t="s">
        <v>212</v>
      </c>
      <c r="G39" s="9" t="s">
        <v>213</v>
      </c>
      <c r="H39" s="10"/>
      <c r="I39" s="7"/>
      <c r="J39" s="7"/>
      <c r="K39" s="9"/>
    </row>
    <row r="40" spans="1:11" x14ac:dyDescent="0.35">
      <c r="A40" s="6" t="s">
        <v>214</v>
      </c>
      <c r="B40" s="7" t="s">
        <v>205</v>
      </c>
      <c r="C40" s="8" t="s">
        <v>44</v>
      </c>
      <c r="D40" s="9" t="s">
        <v>215</v>
      </c>
      <c r="E40" s="9" t="s">
        <v>69</v>
      </c>
      <c r="F40" s="9" t="s">
        <v>216</v>
      </c>
      <c r="G40" s="9" t="s">
        <v>217</v>
      </c>
      <c r="H40" s="10"/>
      <c r="I40" s="7"/>
      <c r="J40" s="7"/>
      <c r="K40" s="9"/>
    </row>
    <row r="41" spans="1:11" x14ac:dyDescent="0.35">
      <c r="A41" s="6" t="s">
        <v>218</v>
      </c>
      <c r="B41" s="7" t="s">
        <v>205</v>
      </c>
      <c r="C41" s="8" t="s">
        <v>44</v>
      </c>
      <c r="D41" s="9" t="s">
        <v>219</v>
      </c>
      <c r="E41" s="9" t="s">
        <v>220</v>
      </c>
      <c r="F41" s="9" t="s">
        <v>221</v>
      </c>
      <c r="G41" s="9" t="s">
        <v>222</v>
      </c>
      <c r="H41" s="10"/>
      <c r="I41" s="7"/>
      <c r="J41" s="7"/>
      <c r="K41" s="9"/>
    </row>
    <row r="42" spans="1:11" x14ac:dyDescent="0.35">
      <c r="A42" s="6" t="s">
        <v>223</v>
      </c>
      <c r="B42" s="7" t="s">
        <v>205</v>
      </c>
      <c r="C42" s="8" t="s">
        <v>44</v>
      </c>
      <c r="D42" s="9" t="s">
        <v>224</v>
      </c>
      <c r="E42" s="9" t="s">
        <v>225</v>
      </c>
      <c r="F42" s="9" t="s">
        <v>226</v>
      </c>
      <c r="G42" s="9" t="s">
        <v>227</v>
      </c>
      <c r="H42" s="10"/>
      <c r="I42" s="7"/>
      <c r="J42" s="7"/>
      <c r="K42" s="9"/>
    </row>
    <row r="43" spans="1:11" ht="25" x14ac:dyDescent="0.35">
      <c r="A43" s="6" t="s">
        <v>228</v>
      </c>
      <c r="B43" s="7" t="s">
        <v>205</v>
      </c>
      <c r="C43" s="8" t="s">
        <v>44</v>
      </c>
      <c r="D43" s="9" t="s">
        <v>229</v>
      </c>
      <c r="E43" s="9" t="s">
        <v>230</v>
      </c>
      <c r="F43" s="9" t="s">
        <v>231</v>
      </c>
      <c r="G43" s="9" t="s">
        <v>232</v>
      </c>
      <c r="H43" s="10"/>
      <c r="I43" s="7"/>
      <c r="J43" s="7"/>
      <c r="K43" s="9"/>
    </row>
    <row r="44" spans="1:11" x14ac:dyDescent="0.35">
      <c r="A44" s="6" t="s">
        <v>233</v>
      </c>
      <c r="B44" s="7" t="s">
        <v>205</v>
      </c>
      <c r="C44" s="8" t="s">
        <v>54</v>
      </c>
      <c r="D44" s="9" t="s">
        <v>234</v>
      </c>
      <c r="E44" s="9" t="s">
        <v>235</v>
      </c>
      <c r="F44" s="9" t="s">
        <v>236</v>
      </c>
      <c r="G44" s="9" t="s">
        <v>237</v>
      </c>
      <c r="H44" s="10"/>
      <c r="I44" s="7"/>
      <c r="J44" s="7"/>
      <c r="K44" s="9"/>
    </row>
    <row r="45" spans="1:11" ht="25" x14ac:dyDescent="0.35">
      <c r="A45" s="6" t="s">
        <v>238</v>
      </c>
      <c r="B45" s="7" t="s">
        <v>205</v>
      </c>
      <c r="C45" s="8" t="s">
        <v>54</v>
      </c>
      <c r="D45" s="9" t="s">
        <v>239</v>
      </c>
      <c r="E45" s="9" t="s">
        <v>235</v>
      </c>
      <c r="F45" s="9" t="s">
        <v>240</v>
      </c>
      <c r="G45" s="9" t="s">
        <v>241</v>
      </c>
      <c r="H45" s="10"/>
      <c r="I45" s="7"/>
      <c r="J45" s="7"/>
      <c r="K45" s="9"/>
    </row>
    <row r="46" spans="1:11" ht="25" x14ac:dyDescent="0.35">
      <c r="A46" s="6" t="s">
        <v>242</v>
      </c>
      <c r="B46" s="7" t="s">
        <v>205</v>
      </c>
      <c r="C46" s="8" t="s">
        <v>54</v>
      </c>
      <c r="D46" s="9" t="s">
        <v>243</v>
      </c>
      <c r="E46" s="9" t="s">
        <v>69</v>
      </c>
      <c r="F46" s="9" t="s">
        <v>244</v>
      </c>
      <c r="G46" s="9" t="s">
        <v>245</v>
      </c>
      <c r="H46" s="10"/>
      <c r="I46" s="7"/>
      <c r="J46" s="7"/>
      <c r="K46" s="9"/>
    </row>
    <row r="47" spans="1:11" ht="25" x14ac:dyDescent="0.35">
      <c r="A47" s="6" t="s">
        <v>246</v>
      </c>
      <c r="B47" s="7" t="s">
        <v>205</v>
      </c>
      <c r="C47" s="8" t="s">
        <v>109</v>
      </c>
      <c r="D47" s="9" t="s">
        <v>247</v>
      </c>
      <c r="E47" s="9" t="s">
        <v>69</v>
      </c>
      <c r="F47" s="9" t="s">
        <v>248</v>
      </c>
      <c r="G47" s="9" t="s">
        <v>249</v>
      </c>
      <c r="H47" s="10"/>
      <c r="I47" s="7"/>
      <c r="J47" s="7"/>
      <c r="K47" s="9"/>
    </row>
    <row r="48" spans="1:11" ht="25" x14ac:dyDescent="0.35">
      <c r="A48" s="6" t="s">
        <v>250</v>
      </c>
      <c r="B48" s="7" t="s">
        <v>251</v>
      </c>
      <c r="C48" s="8" t="s">
        <v>44</v>
      </c>
      <c r="D48" s="9" t="s">
        <v>252</v>
      </c>
      <c r="E48" s="9" t="s">
        <v>207</v>
      </c>
      <c r="F48" s="9" t="s">
        <v>253</v>
      </c>
      <c r="G48" s="9" t="s">
        <v>254</v>
      </c>
      <c r="H48" s="10"/>
      <c r="I48" s="7"/>
      <c r="J48" s="7"/>
      <c r="K48" s="9"/>
    </row>
    <row r="49" spans="1:11" ht="25" x14ac:dyDescent="0.35">
      <c r="A49" s="6" t="s">
        <v>255</v>
      </c>
      <c r="B49" s="7" t="s">
        <v>251</v>
      </c>
      <c r="C49" s="8" t="s">
        <v>44</v>
      </c>
      <c r="D49" s="9" t="s">
        <v>256</v>
      </c>
      <c r="E49" s="9" t="s">
        <v>257</v>
      </c>
      <c r="F49" s="9" t="s">
        <v>258</v>
      </c>
      <c r="G49" s="9" t="s">
        <v>259</v>
      </c>
      <c r="H49" s="10"/>
      <c r="I49" s="7"/>
      <c r="J49" s="7"/>
      <c r="K49" s="9"/>
    </row>
    <row r="50" spans="1:11" ht="25" x14ac:dyDescent="0.35">
      <c r="A50" s="6" t="s">
        <v>260</v>
      </c>
      <c r="B50" s="7" t="s">
        <v>251</v>
      </c>
      <c r="C50" s="8" t="s">
        <v>44</v>
      </c>
      <c r="D50" s="9" t="s">
        <v>261</v>
      </c>
      <c r="E50" s="9" t="s">
        <v>69</v>
      </c>
      <c r="F50" s="9" t="s">
        <v>262</v>
      </c>
      <c r="G50" s="9" t="s">
        <v>263</v>
      </c>
      <c r="H50" s="10"/>
      <c r="I50" s="7"/>
      <c r="J50" s="7"/>
      <c r="K50" s="9"/>
    </row>
    <row r="51" spans="1:11" ht="25" x14ac:dyDescent="0.35">
      <c r="A51" s="6" t="s">
        <v>264</v>
      </c>
      <c r="B51" s="7" t="s">
        <v>251</v>
      </c>
      <c r="C51" s="8" t="s">
        <v>44</v>
      </c>
      <c r="D51" s="9" t="s">
        <v>265</v>
      </c>
      <c r="E51" s="9" t="s">
        <v>166</v>
      </c>
      <c r="F51" s="9" t="s">
        <v>266</v>
      </c>
      <c r="G51" s="9" t="s">
        <v>267</v>
      </c>
      <c r="H51" s="10"/>
      <c r="I51" s="7"/>
      <c r="J51" s="7"/>
      <c r="K51" s="9"/>
    </row>
    <row r="52" spans="1:11" x14ac:dyDescent="0.35">
      <c r="A52" s="6" t="s">
        <v>268</v>
      </c>
      <c r="B52" s="7" t="s">
        <v>251</v>
      </c>
      <c r="C52" s="8" t="s">
        <v>44</v>
      </c>
      <c r="D52" s="9" t="s">
        <v>269</v>
      </c>
      <c r="E52" s="9" t="s">
        <v>270</v>
      </c>
      <c r="F52" s="9" t="s">
        <v>271</v>
      </c>
      <c r="G52" s="9" t="s">
        <v>272</v>
      </c>
      <c r="H52" s="10"/>
      <c r="I52" s="7"/>
      <c r="J52" s="7"/>
      <c r="K52" s="9"/>
    </row>
    <row r="53" spans="1:11" x14ac:dyDescent="0.35">
      <c r="A53" s="6" t="s">
        <v>273</v>
      </c>
      <c r="B53" s="7" t="s">
        <v>251</v>
      </c>
      <c r="C53" s="8" t="s">
        <v>44</v>
      </c>
      <c r="D53" s="9" t="s">
        <v>274</v>
      </c>
      <c r="E53" s="9" t="s">
        <v>270</v>
      </c>
      <c r="F53" s="9" t="s">
        <v>275</v>
      </c>
      <c r="G53" s="9" t="s">
        <v>276</v>
      </c>
      <c r="H53" s="10"/>
      <c r="I53" s="7"/>
      <c r="J53" s="7"/>
      <c r="K53" s="9"/>
    </row>
    <row r="54" spans="1:11" x14ac:dyDescent="0.35">
      <c r="A54" s="6" t="s">
        <v>277</v>
      </c>
      <c r="B54" s="7" t="s">
        <v>251</v>
      </c>
      <c r="C54" s="8" t="s">
        <v>44</v>
      </c>
      <c r="D54" s="9" t="s">
        <v>278</v>
      </c>
      <c r="E54" s="9" t="s">
        <v>279</v>
      </c>
      <c r="F54" s="9" t="s">
        <v>280</v>
      </c>
      <c r="G54" s="9" t="s">
        <v>281</v>
      </c>
      <c r="H54" s="10"/>
      <c r="I54" s="7"/>
      <c r="J54" s="7"/>
      <c r="K54" s="9"/>
    </row>
    <row r="55" spans="1:11" ht="25" x14ac:dyDescent="0.35">
      <c r="A55" s="6" t="s">
        <v>282</v>
      </c>
      <c r="B55" s="7" t="s">
        <v>251</v>
      </c>
      <c r="C55" s="8" t="s">
        <v>44</v>
      </c>
      <c r="D55" s="9" t="s">
        <v>283</v>
      </c>
      <c r="E55" s="9" t="s">
        <v>284</v>
      </c>
      <c r="F55" s="9" t="s">
        <v>285</v>
      </c>
      <c r="G55" s="9" t="s">
        <v>286</v>
      </c>
      <c r="H55" s="10"/>
      <c r="I55" s="7"/>
      <c r="J55" s="7"/>
      <c r="K55" s="9"/>
    </row>
    <row r="56" spans="1:11" ht="25" x14ac:dyDescent="0.35">
      <c r="A56" s="6" t="s">
        <v>287</v>
      </c>
      <c r="B56" s="7" t="s">
        <v>251</v>
      </c>
      <c r="C56" s="8" t="s">
        <v>54</v>
      </c>
      <c r="D56" s="9" t="s">
        <v>288</v>
      </c>
      <c r="E56" s="9" t="s">
        <v>289</v>
      </c>
      <c r="F56" s="9" t="s">
        <v>290</v>
      </c>
      <c r="G56" s="9" t="s">
        <v>291</v>
      </c>
      <c r="H56" s="10"/>
      <c r="I56" s="7"/>
      <c r="J56" s="7"/>
      <c r="K56" s="9"/>
    </row>
    <row r="57" spans="1:11" x14ac:dyDescent="0.35">
      <c r="A57" s="6" t="s">
        <v>292</v>
      </c>
      <c r="B57" s="7" t="s">
        <v>251</v>
      </c>
      <c r="C57" s="8" t="s">
        <v>54</v>
      </c>
      <c r="D57" s="9" t="s">
        <v>293</v>
      </c>
      <c r="E57" s="9" t="s">
        <v>279</v>
      </c>
      <c r="F57" s="9" t="s">
        <v>294</v>
      </c>
      <c r="G57" s="9" t="s">
        <v>295</v>
      </c>
      <c r="H57" s="10"/>
      <c r="I57" s="7"/>
      <c r="J57" s="7"/>
      <c r="K57" s="9"/>
    </row>
    <row r="58" spans="1:11" x14ac:dyDescent="0.35">
      <c r="A58" s="6" t="s">
        <v>296</v>
      </c>
      <c r="B58" s="7" t="s">
        <v>251</v>
      </c>
      <c r="C58" s="8" t="s">
        <v>109</v>
      </c>
      <c r="D58" s="9" t="s">
        <v>297</v>
      </c>
      <c r="E58" s="9" t="s">
        <v>279</v>
      </c>
      <c r="F58" s="9" t="s">
        <v>298</v>
      </c>
      <c r="G58" s="9" t="s">
        <v>299</v>
      </c>
      <c r="H58" s="10"/>
      <c r="I58" s="7"/>
      <c r="J58" s="7"/>
      <c r="K58" s="9"/>
    </row>
    <row r="59" spans="1:11" x14ac:dyDescent="0.35">
      <c r="A59" s="6" t="s">
        <v>300</v>
      </c>
      <c r="B59" s="7" t="s">
        <v>301</v>
      </c>
      <c r="C59" s="8" t="s">
        <v>44</v>
      </c>
      <c r="D59" s="9" t="s">
        <v>302</v>
      </c>
      <c r="E59" s="9" t="s">
        <v>137</v>
      </c>
      <c r="F59" s="9" t="s">
        <v>303</v>
      </c>
      <c r="G59" s="9" t="s">
        <v>304</v>
      </c>
      <c r="H59" s="10"/>
      <c r="I59" s="7"/>
      <c r="J59" s="7"/>
      <c r="K59" s="9"/>
    </row>
    <row r="60" spans="1:11" x14ac:dyDescent="0.35">
      <c r="A60" s="6" t="s">
        <v>305</v>
      </c>
      <c r="B60" s="7" t="s">
        <v>301</v>
      </c>
      <c r="C60" s="8" t="s">
        <v>44</v>
      </c>
      <c r="D60" s="9" t="s">
        <v>306</v>
      </c>
      <c r="E60" s="9" t="s">
        <v>307</v>
      </c>
      <c r="F60" s="9" t="s">
        <v>308</v>
      </c>
      <c r="G60" s="9" t="s">
        <v>309</v>
      </c>
      <c r="H60" s="10"/>
      <c r="I60" s="7"/>
      <c r="J60" s="7"/>
      <c r="K60" s="9"/>
    </row>
    <row r="61" spans="1:11" ht="25" x14ac:dyDescent="0.35">
      <c r="A61" s="6" t="s">
        <v>310</v>
      </c>
      <c r="B61" s="7" t="s">
        <v>301</v>
      </c>
      <c r="C61" s="8" t="s">
        <v>54</v>
      </c>
      <c r="D61" s="9" t="s">
        <v>311</v>
      </c>
      <c r="E61" s="9" t="s">
        <v>312</v>
      </c>
      <c r="F61" s="9" t="s">
        <v>313</v>
      </c>
      <c r="G61" s="9" t="s">
        <v>314</v>
      </c>
      <c r="H61" s="10"/>
      <c r="I61" s="7"/>
      <c r="J61" s="7"/>
      <c r="K61" s="9"/>
    </row>
    <row r="62" spans="1:11" x14ac:dyDescent="0.35">
      <c r="A62" s="6" t="s">
        <v>315</v>
      </c>
      <c r="B62" s="7" t="s">
        <v>301</v>
      </c>
      <c r="C62" s="8" t="s">
        <v>44</v>
      </c>
      <c r="D62" s="9" t="s">
        <v>316</v>
      </c>
      <c r="E62" s="9" t="s">
        <v>235</v>
      </c>
      <c r="F62" s="9" t="s">
        <v>317</v>
      </c>
      <c r="G62" s="9" t="s">
        <v>318</v>
      </c>
      <c r="H62" s="10"/>
      <c r="I62" s="7"/>
      <c r="J62" s="7"/>
      <c r="K62" s="9"/>
    </row>
    <row r="63" spans="1:11" ht="25" x14ac:dyDescent="0.35">
      <c r="A63" s="6" t="s">
        <v>319</v>
      </c>
      <c r="B63" s="7" t="s">
        <v>301</v>
      </c>
      <c r="C63" s="8" t="s">
        <v>44</v>
      </c>
      <c r="D63" s="9" t="s">
        <v>320</v>
      </c>
      <c r="E63" s="9" t="s">
        <v>321</v>
      </c>
      <c r="F63" s="9" t="s">
        <v>322</v>
      </c>
      <c r="G63" s="9" t="s">
        <v>323</v>
      </c>
      <c r="H63" s="10"/>
      <c r="I63" s="7"/>
      <c r="J63" s="7"/>
      <c r="K63" s="9"/>
    </row>
    <row r="64" spans="1:11" ht="25" x14ac:dyDescent="0.35">
      <c r="A64" s="6" t="s">
        <v>324</v>
      </c>
      <c r="B64" s="7" t="s">
        <v>301</v>
      </c>
      <c r="C64" s="8" t="s">
        <v>44</v>
      </c>
      <c r="D64" s="9" t="s">
        <v>325</v>
      </c>
      <c r="E64" s="9" t="s">
        <v>326</v>
      </c>
      <c r="F64" s="9" t="s">
        <v>327</v>
      </c>
      <c r="G64" s="9" t="s">
        <v>328</v>
      </c>
      <c r="H64" s="10"/>
      <c r="I64" s="7"/>
      <c r="J64" s="7"/>
      <c r="K64" s="9"/>
    </row>
    <row r="65" spans="1:11" x14ac:dyDescent="0.35">
      <c r="A65" s="6" t="s">
        <v>329</v>
      </c>
      <c r="B65" s="7" t="s">
        <v>301</v>
      </c>
      <c r="C65" s="8" t="s">
        <v>44</v>
      </c>
      <c r="D65" s="9" t="s">
        <v>330</v>
      </c>
      <c r="E65" s="9" t="s">
        <v>331</v>
      </c>
      <c r="F65" s="9" t="s">
        <v>332</v>
      </c>
      <c r="G65" s="9" t="s">
        <v>333</v>
      </c>
      <c r="H65" s="10"/>
      <c r="I65" s="7"/>
      <c r="J65" s="7"/>
      <c r="K65" s="9"/>
    </row>
    <row r="66" spans="1:11" x14ac:dyDescent="0.35">
      <c r="A66" s="6" t="s">
        <v>334</v>
      </c>
      <c r="B66" s="7" t="s">
        <v>301</v>
      </c>
      <c r="C66" s="8" t="s">
        <v>54</v>
      </c>
      <c r="D66" s="9" t="s">
        <v>335</v>
      </c>
      <c r="E66" s="9" t="s">
        <v>235</v>
      </c>
      <c r="F66" s="9" t="s">
        <v>336</v>
      </c>
      <c r="G66" s="9" t="s">
        <v>337</v>
      </c>
      <c r="H66" s="10"/>
      <c r="I66" s="7"/>
      <c r="J66" s="7"/>
      <c r="K66" s="9"/>
    </row>
    <row r="67" spans="1:11" x14ac:dyDescent="0.35">
      <c r="A67" s="6" t="s">
        <v>338</v>
      </c>
      <c r="B67" s="7" t="s">
        <v>301</v>
      </c>
      <c r="C67" s="8" t="s">
        <v>54</v>
      </c>
      <c r="D67" s="9" t="s">
        <v>339</v>
      </c>
      <c r="E67" s="9" t="s">
        <v>235</v>
      </c>
      <c r="F67" s="9" t="s">
        <v>340</v>
      </c>
      <c r="G67" s="9" t="s">
        <v>341</v>
      </c>
      <c r="H67" s="10"/>
      <c r="I67" s="7"/>
      <c r="J67" s="7"/>
      <c r="K67" s="9"/>
    </row>
    <row r="68" spans="1:11" x14ac:dyDescent="0.35">
      <c r="A68" s="6" t="s">
        <v>342</v>
      </c>
      <c r="B68" s="7" t="s">
        <v>343</v>
      </c>
      <c r="C68" s="8" t="s">
        <v>44</v>
      </c>
      <c r="D68" s="9" t="s">
        <v>344</v>
      </c>
      <c r="E68" s="9" t="s">
        <v>137</v>
      </c>
      <c r="F68" s="9" t="s">
        <v>345</v>
      </c>
      <c r="G68" s="9" t="s">
        <v>346</v>
      </c>
      <c r="H68" s="10"/>
      <c r="I68" s="7"/>
      <c r="J68" s="7"/>
      <c r="K68" s="9"/>
    </row>
    <row r="69" spans="1:11" ht="25" x14ac:dyDescent="0.35">
      <c r="A69" s="6" t="s">
        <v>347</v>
      </c>
      <c r="B69" s="7" t="s">
        <v>343</v>
      </c>
      <c r="C69" s="8" t="s">
        <v>54</v>
      </c>
      <c r="D69" s="9" t="s">
        <v>348</v>
      </c>
      <c r="E69" s="9" t="s">
        <v>235</v>
      </c>
      <c r="F69" s="9" t="s">
        <v>349</v>
      </c>
      <c r="G69" s="9" t="s">
        <v>350</v>
      </c>
      <c r="H69" s="10"/>
      <c r="I69" s="7"/>
      <c r="J69" s="7"/>
      <c r="K69" s="9"/>
    </row>
    <row r="70" spans="1:11" ht="25" x14ac:dyDescent="0.35">
      <c r="A70" s="6" t="s">
        <v>351</v>
      </c>
      <c r="B70" s="7" t="s">
        <v>343</v>
      </c>
      <c r="C70" s="8" t="s">
        <v>44</v>
      </c>
      <c r="D70" s="9" t="s">
        <v>352</v>
      </c>
      <c r="E70" s="9" t="s">
        <v>353</v>
      </c>
      <c r="F70" s="9" t="s">
        <v>354</v>
      </c>
      <c r="G70" s="9" t="s">
        <v>355</v>
      </c>
      <c r="H70" s="10"/>
      <c r="I70" s="7"/>
      <c r="J70" s="7"/>
      <c r="K70" s="9"/>
    </row>
    <row r="71" spans="1:11" ht="25" x14ac:dyDescent="0.35">
      <c r="A71" s="6" t="s">
        <v>356</v>
      </c>
      <c r="B71" s="7" t="s">
        <v>343</v>
      </c>
      <c r="C71" s="8" t="s">
        <v>44</v>
      </c>
      <c r="D71" s="9" t="s">
        <v>357</v>
      </c>
      <c r="E71" s="9" t="s">
        <v>358</v>
      </c>
      <c r="F71" s="9" t="s">
        <v>359</v>
      </c>
      <c r="G71" s="9" t="s">
        <v>360</v>
      </c>
      <c r="H71" s="10"/>
      <c r="I71" s="7"/>
      <c r="J71" s="7"/>
      <c r="K71" s="9"/>
    </row>
    <row r="72" spans="1:11" ht="25" x14ac:dyDescent="0.35">
      <c r="A72" s="6" t="s">
        <v>361</v>
      </c>
      <c r="B72" s="7" t="s">
        <v>343</v>
      </c>
      <c r="C72" s="8" t="s">
        <v>54</v>
      </c>
      <c r="D72" s="9" t="s">
        <v>362</v>
      </c>
      <c r="E72" s="9" t="s">
        <v>363</v>
      </c>
      <c r="F72" s="9" t="s">
        <v>364</v>
      </c>
      <c r="G72" s="9" t="s">
        <v>365</v>
      </c>
      <c r="H72" s="10"/>
      <c r="I72" s="7"/>
      <c r="J72" s="7"/>
      <c r="K72" s="9"/>
    </row>
    <row r="73" spans="1:11" ht="25" x14ac:dyDescent="0.35">
      <c r="A73" s="6" t="s">
        <v>366</v>
      </c>
      <c r="B73" s="7" t="s">
        <v>343</v>
      </c>
      <c r="C73" s="8" t="s">
        <v>54</v>
      </c>
      <c r="D73" s="9" t="s">
        <v>367</v>
      </c>
      <c r="E73" s="9" t="s">
        <v>368</v>
      </c>
      <c r="F73" s="9" t="s">
        <v>359</v>
      </c>
      <c r="G73" s="9" t="s">
        <v>369</v>
      </c>
      <c r="H73" s="10"/>
      <c r="I73" s="7"/>
      <c r="J73" s="7"/>
      <c r="K73" s="9"/>
    </row>
    <row r="74" spans="1:11" ht="25" x14ac:dyDescent="0.35">
      <c r="A74" s="6" t="s">
        <v>370</v>
      </c>
      <c r="B74" s="7" t="s">
        <v>343</v>
      </c>
      <c r="C74" s="8" t="s">
        <v>44</v>
      </c>
      <c r="D74" s="9" t="s">
        <v>371</v>
      </c>
      <c r="E74" s="9" t="s">
        <v>372</v>
      </c>
      <c r="F74" s="9" t="s">
        <v>359</v>
      </c>
      <c r="G74" s="9" t="s">
        <v>373</v>
      </c>
      <c r="H74" s="10"/>
      <c r="I74" s="7"/>
      <c r="J74" s="7"/>
      <c r="K74" s="9"/>
    </row>
    <row r="75" spans="1:11" ht="25" x14ac:dyDescent="0.35">
      <c r="A75" s="6" t="s">
        <v>374</v>
      </c>
      <c r="B75" s="7" t="s">
        <v>343</v>
      </c>
      <c r="C75" s="8" t="s">
        <v>44</v>
      </c>
      <c r="D75" s="9" t="s">
        <v>375</v>
      </c>
      <c r="E75" s="9" t="s">
        <v>137</v>
      </c>
      <c r="F75" s="9" t="s">
        <v>376</v>
      </c>
      <c r="G75" s="9" t="s">
        <v>377</v>
      </c>
      <c r="H75" s="10"/>
      <c r="I75" s="7"/>
      <c r="J75" s="7"/>
      <c r="K75" s="9"/>
    </row>
    <row r="76" spans="1:11" ht="25" x14ac:dyDescent="0.35">
      <c r="A76" s="6" t="s">
        <v>378</v>
      </c>
      <c r="B76" s="7" t="s">
        <v>379</v>
      </c>
      <c r="C76" s="8" t="s">
        <v>44</v>
      </c>
      <c r="D76" s="9" t="s">
        <v>380</v>
      </c>
      <c r="E76" s="9" t="s">
        <v>137</v>
      </c>
      <c r="F76" s="9" t="s">
        <v>381</v>
      </c>
      <c r="G76" s="9" t="s">
        <v>382</v>
      </c>
      <c r="H76" s="10"/>
      <c r="I76" s="7"/>
      <c r="J76" s="7"/>
      <c r="K76" s="9"/>
    </row>
    <row r="77" spans="1:11" x14ac:dyDescent="0.35">
      <c r="A77" s="6" t="s">
        <v>383</v>
      </c>
      <c r="B77" s="7" t="s">
        <v>379</v>
      </c>
      <c r="C77" s="8" t="s">
        <v>54</v>
      </c>
      <c r="D77" s="9" t="s">
        <v>384</v>
      </c>
      <c r="E77" s="9" t="s">
        <v>385</v>
      </c>
      <c r="F77" s="9" t="s">
        <v>386</v>
      </c>
      <c r="G77" s="9" t="s">
        <v>387</v>
      </c>
      <c r="H77" s="10"/>
      <c r="I77" s="7"/>
      <c r="J77" s="7"/>
      <c r="K77" s="9"/>
    </row>
    <row r="78" spans="1:11" ht="25" x14ac:dyDescent="0.35">
      <c r="A78" s="6" t="s">
        <v>388</v>
      </c>
      <c r="B78" s="7" t="s">
        <v>379</v>
      </c>
      <c r="C78" s="8" t="s">
        <v>44</v>
      </c>
      <c r="D78" s="9" t="s">
        <v>389</v>
      </c>
      <c r="E78" s="9" t="s">
        <v>385</v>
      </c>
      <c r="F78" s="9" t="s">
        <v>390</v>
      </c>
      <c r="G78" s="9" t="s">
        <v>391</v>
      </c>
      <c r="H78" s="10"/>
      <c r="I78" s="7"/>
      <c r="J78" s="7"/>
      <c r="K78" s="9"/>
    </row>
    <row r="79" spans="1:11" x14ac:dyDescent="0.35">
      <c r="A79" s="6" t="s">
        <v>392</v>
      </c>
      <c r="B79" s="7" t="s">
        <v>379</v>
      </c>
      <c r="C79" s="8" t="s">
        <v>44</v>
      </c>
      <c r="D79" s="9" t="s">
        <v>393</v>
      </c>
      <c r="E79" s="9" t="s">
        <v>385</v>
      </c>
      <c r="F79" s="9" t="s">
        <v>394</v>
      </c>
      <c r="G79" s="9" t="s">
        <v>395</v>
      </c>
      <c r="H79" s="10"/>
      <c r="I79" s="7"/>
      <c r="J79" s="7"/>
      <c r="K79" s="9"/>
    </row>
    <row r="80" spans="1:11" ht="25" x14ac:dyDescent="0.35">
      <c r="A80" s="6" t="s">
        <v>396</v>
      </c>
      <c r="B80" s="7" t="s">
        <v>379</v>
      </c>
      <c r="C80" s="8" t="s">
        <v>44</v>
      </c>
      <c r="D80" s="9" t="s">
        <v>397</v>
      </c>
      <c r="E80" s="9" t="s">
        <v>398</v>
      </c>
      <c r="F80" s="9" t="s">
        <v>399</v>
      </c>
      <c r="G80" s="9" t="s">
        <v>400</v>
      </c>
      <c r="H80" s="10"/>
      <c r="I80" s="7"/>
      <c r="J80" s="7"/>
      <c r="K80" s="9"/>
    </row>
    <row r="81" spans="1:11" ht="25" x14ac:dyDescent="0.35">
      <c r="A81" s="6" t="s">
        <v>401</v>
      </c>
      <c r="B81" s="7" t="s">
        <v>379</v>
      </c>
      <c r="C81" s="8" t="s">
        <v>44</v>
      </c>
      <c r="D81" s="9" t="s">
        <v>402</v>
      </c>
      <c r="E81" s="9" t="s">
        <v>385</v>
      </c>
      <c r="F81" s="9" t="s">
        <v>403</v>
      </c>
      <c r="G81" s="9" t="s">
        <v>404</v>
      </c>
      <c r="H81" s="10"/>
      <c r="I81" s="7"/>
      <c r="J81" s="7"/>
      <c r="K81" s="9"/>
    </row>
    <row r="82" spans="1:11" x14ac:dyDescent="0.35">
      <c r="A82" s="6" t="s">
        <v>405</v>
      </c>
      <c r="B82" s="7" t="s">
        <v>379</v>
      </c>
      <c r="C82" s="8" t="s">
        <v>44</v>
      </c>
      <c r="D82" s="9" t="s">
        <v>406</v>
      </c>
      <c r="E82" s="9" t="s">
        <v>407</v>
      </c>
      <c r="F82" s="9" t="s">
        <v>408</v>
      </c>
      <c r="G82" s="9" t="s">
        <v>409</v>
      </c>
      <c r="H82" s="10"/>
      <c r="I82" s="7"/>
      <c r="J82" s="7"/>
      <c r="K82" s="9"/>
    </row>
    <row r="83" spans="1:11" ht="25" x14ac:dyDescent="0.35">
      <c r="A83" s="6" t="s">
        <v>410</v>
      </c>
      <c r="B83" s="7" t="s">
        <v>379</v>
      </c>
      <c r="C83" s="8" t="s">
        <v>44</v>
      </c>
      <c r="D83" s="9" t="s">
        <v>411</v>
      </c>
      <c r="E83" s="9" t="s">
        <v>412</v>
      </c>
      <c r="F83" s="9" t="s">
        <v>413</v>
      </c>
      <c r="G83" s="9" t="s">
        <v>414</v>
      </c>
      <c r="H83" s="10"/>
      <c r="I83" s="7"/>
      <c r="J83" s="7"/>
      <c r="K83" s="9"/>
    </row>
    <row r="84" spans="1:11" ht="25" x14ac:dyDescent="0.35">
      <c r="A84" s="6" t="s">
        <v>415</v>
      </c>
      <c r="B84" s="7" t="s">
        <v>379</v>
      </c>
      <c r="C84" s="8" t="s">
        <v>44</v>
      </c>
      <c r="D84" s="9" t="s">
        <v>416</v>
      </c>
      <c r="E84" s="9" t="s">
        <v>417</v>
      </c>
      <c r="F84" s="9" t="s">
        <v>418</v>
      </c>
      <c r="G84" s="9" t="s">
        <v>419</v>
      </c>
      <c r="H84" s="10"/>
      <c r="I84" s="7"/>
      <c r="J84" s="7"/>
      <c r="K84" s="9"/>
    </row>
    <row r="85" spans="1:11" ht="25" x14ac:dyDescent="0.35">
      <c r="A85" s="6" t="s">
        <v>420</v>
      </c>
      <c r="B85" s="7" t="s">
        <v>379</v>
      </c>
      <c r="C85" s="8" t="s">
        <v>44</v>
      </c>
      <c r="D85" s="9" t="s">
        <v>421</v>
      </c>
      <c r="E85" s="9" t="s">
        <v>385</v>
      </c>
      <c r="F85" s="9" t="s">
        <v>422</v>
      </c>
      <c r="G85" s="9" t="s">
        <v>423</v>
      </c>
      <c r="H85" s="10"/>
      <c r="I85" s="7"/>
      <c r="J85" s="7"/>
      <c r="K85" s="9"/>
    </row>
    <row r="86" spans="1:11" x14ac:dyDescent="0.35">
      <c r="A86" s="6" t="s">
        <v>424</v>
      </c>
      <c r="B86" s="7" t="s">
        <v>425</v>
      </c>
      <c r="C86" s="8" t="s">
        <v>44</v>
      </c>
      <c r="D86" s="9" t="s">
        <v>426</v>
      </c>
      <c r="E86" s="9" t="s">
        <v>235</v>
      </c>
      <c r="F86" s="9" t="s">
        <v>427</v>
      </c>
      <c r="G86" s="9" t="s">
        <v>428</v>
      </c>
      <c r="H86" s="10"/>
      <c r="I86" s="7"/>
      <c r="J86" s="7"/>
      <c r="K86" s="9"/>
    </row>
    <row r="87" spans="1:11" x14ac:dyDescent="0.35">
      <c r="A87" s="6" t="s">
        <v>429</v>
      </c>
      <c r="B87" s="7" t="s">
        <v>425</v>
      </c>
      <c r="C87" s="8" t="s">
        <v>44</v>
      </c>
      <c r="D87" s="9" t="s">
        <v>430</v>
      </c>
      <c r="E87" s="9" t="s">
        <v>431</v>
      </c>
      <c r="F87" s="9" t="s">
        <v>432</v>
      </c>
      <c r="G87" s="9" t="s">
        <v>433</v>
      </c>
      <c r="H87" s="10"/>
      <c r="I87" s="7"/>
      <c r="J87" s="7"/>
      <c r="K87" s="9"/>
    </row>
    <row r="88" spans="1:11" x14ac:dyDescent="0.35">
      <c r="A88" s="6" t="s">
        <v>434</v>
      </c>
      <c r="B88" s="7" t="s">
        <v>425</v>
      </c>
      <c r="C88" s="8" t="s">
        <v>44</v>
      </c>
      <c r="D88" s="9" t="s">
        <v>435</v>
      </c>
      <c r="E88" s="9" t="s">
        <v>436</v>
      </c>
      <c r="F88" s="9" t="s">
        <v>437</v>
      </c>
      <c r="G88" s="9" t="s">
        <v>438</v>
      </c>
      <c r="H88" s="10"/>
      <c r="I88" s="7"/>
      <c r="J88" s="7"/>
      <c r="K88" s="9"/>
    </row>
    <row r="89" spans="1:11" x14ac:dyDescent="0.35">
      <c r="A89" s="6" t="s">
        <v>439</v>
      </c>
      <c r="B89" s="7" t="s">
        <v>425</v>
      </c>
      <c r="C89" s="8" t="s">
        <v>44</v>
      </c>
      <c r="D89" s="9" t="s">
        <v>440</v>
      </c>
      <c r="E89" s="9" t="s">
        <v>441</v>
      </c>
      <c r="F89" s="9" t="s">
        <v>442</v>
      </c>
      <c r="G89" s="9" t="s">
        <v>443</v>
      </c>
      <c r="H89" s="10"/>
      <c r="I89" s="7"/>
      <c r="J89" s="7"/>
      <c r="K89" s="9"/>
    </row>
    <row r="90" spans="1:11" x14ac:dyDescent="0.35">
      <c r="A90" s="6" t="s">
        <v>444</v>
      </c>
      <c r="B90" s="7" t="s">
        <v>425</v>
      </c>
      <c r="C90" s="8" t="s">
        <v>54</v>
      </c>
      <c r="D90" s="9" t="s">
        <v>445</v>
      </c>
      <c r="E90" s="9" t="s">
        <v>446</v>
      </c>
      <c r="F90" s="9" t="s">
        <v>447</v>
      </c>
      <c r="G90" s="9" t="s">
        <v>448</v>
      </c>
      <c r="H90" s="10"/>
      <c r="I90" s="7"/>
      <c r="J90" s="7"/>
      <c r="K90" s="9"/>
    </row>
    <row r="91" spans="1:11" ht="25" x14ac:dyDescent="0.35">
      <c r="A91" s="6" t="s">
        <v>449</v>
      </c>
      <c r="B91" s="7" t="s">
        <v>425</v>
      </c>
      <c r="C91" s="8" t="s">
        <v>54</v>
      </c>
      <c r="D91" s="9" t="s">
        <v>450</v>
      </c>
      <c r="E91" s="9" t="s">
        <v>451</v>
      </c>
      <c r="F91" s="9" t="s">
        <v>452</v>
      </c>
      <c r="G91" s="9" t="s">
        <v>453</v>
      </c>
      <c r="H91" s="10"/>
      <c r="I91" s="7"/>
      <c r="J91" s="7"/>
      <c r="K91" s="9"/>
    </row>
    <row r="92" spans="1:11" ht="25" x14ac:dyDescent="0.35">
      <c r="A92" s="6" t="s">
        <v>454</v>
      </c>
      <c r="B92" s="7" t="s">
        <v>455</v>
      </c>
      <c r="C92" s="8" t="s">
        <v>44</v>
      </c>
      <c r="D92" s="9" t="s">
        <v>456</v>
      </c>
      <c r="E92" s="9" t="s">
        <v>151</v>
      </c>
      <c r="F92" s="9" t="s">
        <v>457</v>
      </c>
      <c r="G92" s="9" t="s">
        <v>458</v>
      </c>
      <c r="H92" s="10"/>
      <c r="I92" s="7"/>
      <c r="J92" s="7"/>
      <c r="K92" s="9"/>
    </row>
    <row r="93" spans="1:11" ht="25" x14ac:dyDescent="0.35">
      <c r="A93" s="6" t="s">
        <v>459</v>
      </c>
      <c r="B93" s="7" t="s">
        <v>455</v>
      </c>
      <c r="C93" s="8" t="s">
        <v>44</v>
      </c>
      <c r="D93" s="9" t="s">
        <v>460</v>
      </c>
      <c r="E93" s="9" t="s">
        <v>151</v>
      </c>
      <c r="F93" s="9" t="s">
        <v>461</v>
      </c>
      <c r="G93" s="9" t="s">
        <v>462</v>
      </c>
      <c r="H93" s="10"/>
      <c r="I93" s="7"/>
      <c r="J93" s="7"/>
      <c r="K93" s="9"/>
    </row>
    <row r="94" spans="1:11" ht="25" x14ac:dyDescent="0.35">
      <c r="A94" s="6" t="s">
        <v>463</v>
      </c>
      <c r="B94" s="7" t="s">
        <v>455</v>
      </c>
      <c r="C94" s="8" t="s">
        <v>44</v>
      </c>
      <c r="D94" s="9" t="s">
        <v>464</v>
      </c>
      <c r="E94" s="9" t="s">
        <v>465</v>
      </c>
      <c r="F94" s="9" t="s">
        <v>466</v>
      </c>
      <c r="G94" s="9" t="s">
        <v>467</v>
      </c>
      <c r="H94" s="10"/>
      <c r="I94" s="7"/>
      <c r="J94" s="7"/>
      <c r="K94" s="9"/>
    </row>
    <row r="95" spans="1:11" x14ac:dyDescent="0.35">
      <c r="A95" s="6" t="s">
        <v>468</v>
      </c>
      <c r="B95" s="7" t="s">
        <v>455</v>
      </c>
      <c r="C95" s="8" t="s">
        <v>44</v>
      </c>
      <c r="D95" s="9" t="s">
        <v>469</v>
      </c>
      <c r="E95" s="9" t="s">
        <v>151</v>
      </c>
      <c r="F95" s="9" t="s">
        <v>470</v>
      </c>
      <c r="G95" s="9" t="s">
        <v>471</v>
      </c>
      <c r="H95" s="10"/>
      <c r="I95" s="7"/>
      <c r="J95" s="7"/>
      <c r="K95" s="9"/>
    </row>
    <row r="96" spans="1:11" ht="25" x14ac:dyDescent="0.35">
      <c r="A96" s="6" t="s">
        <v>472</v>
      </c>
      <c r="B96" s="7" t="s">
        <v>455</v>
      </c>
      <c r="C96" s="8" t="s">
        <v>44</v>
      </c>
      <c r="D96" s="9" t="s">
        <v>473</v>
      </c>
      <c r="E96" s="9" t="s">
        <v>474</v>
      </c>
      <c r="F96" s="9" t="s">
        <v>475</v>
      </c>
      <c r="G96" s="9" t="s">
        <v>476</v>
      </c>
      <c r="H96" s="10"/>
      <c r="I96" s="7"/>
      <c r="J96" s="7"/>
      <c r="K96" s="9"/>
    </row>
    <row r="97" spans="1:11" ht="25" x14ac:dyDescent="0.35">
      <c r="A97" s="6" t="s">
        <v>477</v>
      </c>
      <c r="B97" s="7" t="s">
        <v>455</v>
      </c>
      <c r="C97" s="8" t="s">
        <v>44</v>
      </c>
      <c r="D97" s="9" t="s">
        <v>478</v>
      </c>
      <c r="E97" s="9" t="s">
        <v>479</v>
      </c>
      <c r="F97" s="9" t="s">
        <v>480</v>
      </c>
      <c r="G97" s="9" t="s">
        <v>481</v>
      </c>
      <c r="H97" s="10"/>
      <c r="I97" s="7"/>
      <c r="J97" s="7"/>
      <c r="K97" s="9"/>
    </row>
    <row r="98" spans="1:11" x14ac:dyDescent="0.35">
      <c r="A98" s="6" t="s">
        <v>482</v>
      </c>
      <c r="B98" s="7" t="s">
        <v>455</v>
      </c>
      <c r="C98" s="8" t="s">
        <v>44</v>
      </c>
      <c r="D98" s="9" t="s">
        <v>483</v>
      </c>
      <c r="E98" s="9" t="s">
        <v>484</v>
      </c>
      <c r="F98" s="9" t="s">
        <v>485</v>
      </c>
      <c r="G98" s="9" t="s">
        <v>486</v>
      </c>
      <c r="H98" s="10"/>
      <c r="I98" s="7"/>
      <c r="J98" s="7"/>
      <c r="K98" s="9"/>
    </row>
    <row r="99" spans="1:11" ht="25" x14ac:dyDescent="0.35">
      <c r="A99" s="6" t="s">
        <v>487</v>
      </c>
      <c r="B99" s="7" t="s">
        <v>455</v>
      </c>
      <c r="C99" s="8" t="s">
        <v>44</v>
      </c>
      <c r="D99" s="9" t="s">
        <v>488</v>
      </c>
      <c r="E99" s="9" t="s">
        <v>489</v>
      </c>
      <c r="F99" s="9" t="s">
        <v>490</v>
      </c>
      <c r="G99" s="9" t="s">
        <v>491</v>
      </c>
      <c r="H99" s="10"/>
      <c r="I99" s="7"/>
      <c r="J99" s="7"/>
      <c r="K99" s="9"/>
    </row>
    <row r="100" spans="1:11" x14ac:dyDescent="0.35">
      <c r="A100" s="6" t="s">
        <v>492</v>
      </c>
      <c r="B100" s="7" t="s">
        <v>455</v>
      </c>
      <c r="C100" s="8" t="s">
        <v>54</v>
      </c>
      <c r="D100" s="9" t="s">
        <v>493</v>
      </c>
      <c r="E100" s="9" t="s">
        <v>489</v>
      </c>
      <c r="F100" s="9" t="s">
        <v>494</v>
      </c>
      <c r="G100" s="9" t="s">
        <v>495</v>
      </c>
      <c r="H100" s="10"/>
      <c r="I100" s="7"/>
      <c r="J100" s="7"/>
      <c r="K100" s="9"/>
    </row>
    <row r="101" spans="1:11" ht="25" x14ac:dyDescent="0.35">
      <c r="A101" s="6" t="s">
        <v>496</v>
      </c>
      <c r="B101" s="7" t="s">
        <v>455</v>
      </c>
      <c r="C101" s="8" t="s">
        <v>54</v>
      </c>
      <c r="D101" s="9" t="s">
        <v>497</v>
      </c>
      <c r="E101" s="9" t="s">
        <v>498</v>
      </c>
      <c r="F101" s="9" t="s">
        <v>499</v>
      </c>
      <c r="G101" s="9" t="s">
        <v>500</v>
      </c>
      <c r="H101" s="10"/>
      <c r="I101" s="7"/>
      <c r="J101" s="7"/>
      <c r="K101" s="9"/>
    </row>
    <row r="102" spans="1:11" x14ac:dyDescent="0.35">
      <c r="A102" s="6" t="s">
        <v>501</v>
      </c>
      <c r="B102" s="7" t="s">
        <v>455</v>
      </c>
      <c r="C102" s="8" t="s">
        <v>54</v>
      </c>
      <c r="D102" s="9" t="s">
        <v>502</v>
      </c>
      <c r="E102" s="9" t="s">
        <v>151</v>
      </c>
      <c r="F102" s="9" t="s">
        <v>503</v>
      </c>
      <c r="G102" s="9" t="s">
        <v>504</v>
      </c>
      <c r="H102" s="10"/>
      <c r="I102" s="7"/>
      <c r="J102" s="7"/>
      <c r="K102" s="9"/>
    </row>
    <row r="103" spans="1:11" ht="25" x14ac:dyDescent="0.35">
      <c r="A103" s="6" t="s">
        <v>505</v>
      </c>
      <c r="B103" s="7" t="s">
        <v>455</v>
      </c>
      <c r="C103" s="8" t="s">
        <v>54</v>
      </c>
      <c r="D103" s="9" t="s">
        <v>506</v>
      </c>
      <c r="E103" s="9" t="s">
        <v>151</v>
      </c>
      <c r="F103" s="9" t="s">
        <v>507</v>
      </c>
      <c r="G103" s="9" t="s">
        <v>508</v>
      </c>
      <c r="H103" s="10"/>
      <c r="I103" s="7"/>
      <c r="J103" s="7"/>
      <c r="K103" s="9"/>
    </row>
    <row r="104" spans="1:11" x14ac:dyDescent="0.35">
      <c r="A104" s="6" t="s">
        <v>509</v>
      </c>
      <c r="B104" s="7" t="s">
        <v>510</v>
      </c>
      <c r="C104" s="8" t="s">
        <v>44</v>
      </c>
      <c r="D104" s="9" t="s">
        <v>511</v>
      </c>
      <c r="E104" s="9" t="s">
        <v>512</v>
      </c>
      <c r="F104" s="9" t="s">
        <v>513</v>
      </c>
      <c r="G104" s="9" t="s">
        <v>514</v>
      </c>
      <c r="H104" s="10"/>
      <c r="I104" s="7"/>
      <c r="J104" s="7"/>
      <c r="K104" s="9"/>
    </row>
    <row r="105" spans="1:11" ht="25" x14ac:dyDescent="0.35">
      <c r="A105" s="6" t="s">
        <v>515</v>
      </c>
      <c r="B105" s="7" t="s">
        <v>510</v>
      </c>
      <c r="C105" s="8" t="s">
        <v>44</v>
      </c>
      <c r="D105" s="9" t="s">
        <v>516</v>
      </c>
      <c r="E105" s="9" t="s">
        <v>517</v>
      </c>
      <c r="F105" s="9" t="s">
        <v>518</v>
      </c>
      <c r="G105" s="9" t="s">
        <v>519</v>
      </c>
      <c r="H105" s="10"/>
      <c r="I105" s="7"/>
      <c r="J105" s="7"/>
      <c r="K105" s="9"/>
    </row>
    <row r="106" spans="1:11" x14ac:dyDescent="0.35">
      <c r="A106" s="6" t="s">
        <v>520</v>
      </c>
      <c r="B106" s="7" t="s">
        <v>510</v>
      </c>
      <c r="C106" s="8" t="s">
        <v>44</v>
      </c>
      <c r="D106" s="9" t="s">
        <v>521</v>
      </c>
      <c r="E106" s="9" t="s">
        <v>522</v>
      </c>
      <c r="F106" s="9" t="s">
        <v>523</v>
      </c>
      <c r="G106" s="9" t="s">
        <v>524</v>
      </c>
      <c r="H106" s="10"/>
      <c r="I106" s="7"/>
      <c r="J106" s="7"/>
      <c r="K106" s="9"/>
    </row>
    <row r="107" spans="1:11" x14ac:dyDescent="0.35">
      <c r="A107" s="6" t="s">
        <v>525</v>
      </c>
      <c r="B107" s="7" t="s">
        <v>510</v>
      </c>
      <c r="C107" s="8" t="s">
        <v>44</v>
      </c>
      <c r="D107" s="9" t="s">
        <v>526</v>
      </c>
      <c r="E107" s="9" t="s">
        <v>527</v>
      </c>
      <c r="F107" s="9" t="s">
        <v>528</v>
      </c>
      <c r="G107" s="9" t="s">
        <v>529</v>
      </c>
      <c r="H107" s="10"/>
      <c r="I107" s="7"/>
      <c r="J107" s="7"/>
      <c r="K107" s="9"/>
    </row>
    <row r="108" spans="1:11" ht="25" x14ac:dyDescent="0.35">
      <c r="A108" s="6" t="s">
        <v>530</v>
      </c>
      <c r="B108" s="7" t="s">
        <v>510</v>
      </c>
      <c r="C108" s="8" t="s">
        <v>44</v>
      </c>
      <c r="D108" s="9" t="s">
        <v>531</v>
      </c>
      <c r="E108" s="9" t="s">
        <v>532</v>
      </c>
      <c r="F108" s="9" t="s">
        <v>533</v>
      </c>
      <c r="G108" s="9" t="s">
        <v>534</v>
      </c>
      <c r="H108" s="10"/>
      <c r="I108" s="7"/>
      <c r="J108" s="7"/>
      <c r="K108" s="9"/>
    </row>
    <row r="109" spans="1:11" ht="25" x14ac:dyDescent="0.35">
      <c r="A109" s="6" t="s">
        <v>535</v>
      </c>
      <c r="B109" s="7" t="s">
        <v>510</v>
      </c>
      <c r="C109" s="8" t="s">
        <v>44</v>
      </c>
      <c r="D109" s="9" t="s">
        <v>536</v>
      </c>
      <c r="E109" s="9" t="s">
        <v>537</v>
      </c>
      <c r="F109" s="9" t="s">
        <v>538</v>
      </c>
      <c r="G109" s="9" t="s">
        <v>539</v>
      </c>
      <c r="H109" s="10"/>
      <c r="I109" s="7"/>
      <c r="J109" s="7"/>
      <c r="K109" s="9"/>
    </row>
    <row r="110" spans="1:11" ht="25" x14ac:dyDescent="0.35">
      <c r="A110" s="6" t="s">
        <v>540</v>
      </c>
      <c r="B110" s="7" t="s">
        <v>510</v>
      </c>
      <c r="C110" s="8" t="s">
        <v>44</v>
      </c>
      <c r="D110" s="9" t="s">
        <v>541</v>
      </c>
      <c r="E110" s="9" t="s">
        <v>542</v>
      </c>
      <c r="F110" s="9" t="s">
        <v>543</v>
      </c>
      <c r="G110" s="9" t="s">
        <v>544</v>
      </c>
      <c r="H110" s="10"/>
      <c r="I110" s="7"/>
      <c r="J110" s="7"/>
      <c r="K110" s="9"/>
    </row>
    <row r="111" spans="1:11" x14ac:dyDescent="0.35">
      <c r="A111" s="6" t="s">
        <v>545</v>
      </c>
      <c r="B111" s="7" t="s">
        <v>510</v>
      </c>
      <c r="C111" s="8" t="s">
        <v>44</v>
      </c>
      <c r="D111" s="9" t="s">
        <v>546</v>
      </c>
      <c r="E111" s="9" t="s">
        <v>537</v>
      </c>
      <c r="F111" s="9" t="s">
        <v>547</v>
      </c>
      <c r="G111" s="9" t="s">
        <v>548</v>
      </c>
      <c r="H111" s="10"/>
      <c r="I111" s="7"/>
      <c r="J111" s="7"/>
      <c r="K111" s="9"/>
    </row>
    <row r="112" spans="1:11" x14ac:dyDescent="0.35">
      <c r="A112" s="6" t="s">
        <v>549</v>
      </c>
      <c r="B112" s="7" t="s">
        <v>510</v>
      </c>
      <c r="C112" s="8" t="s">
        <v>54</v>
      </c>
      <c r="D112" s="9" t="s">
        <v>550</v>
      </c>
      <c r="E112" s="9" t="s">
        <v>551</v>
      </c>
      <c r="F112" s="9" t="s">
        <v>552</v>
      </c>
      <c r="G112" s="9" t="s">
        <v>553</v>
      </c>
      <c r="H112" s="10"/>
      <c r="I112" s="7"/>
      <c r="J112" s="7"/>
      <c r="K112" s="9"/>
    </row>
    <row r="113" spans="1:11" x14ac:dyDescent="0.35">
      <c r="A113" s="6" t="s">
        <v>554</v>
      </c>
      <c r="B113" s="7" t="s">
        <v>510</v>
      </c>
      <c r="C113" s="8" t="s">
        <v>54</v>
      </c>
      <c r="D113" s="9" t="s">
        <v>555</v>
      </c>
      <c r="E113" s="9" t="s">
        <v>556</v>
      </c>
      <c r="F113" s="9" t="s">
        <v>557</v>
      </c>
      <c r="G113" s="9" t="s">
        <v>558</v>
      </c>
      <c r="H113" s="10"/>
      <c r="I113" s="7"/>
      <c r="J113" s="7"/>
      <c r="K113" s="9"/>
    </row>
    <row r="114" spans="1:11" x14ac:dyDescent="0.35">
      <c r="A114" s="6" t="s">
        <v>559</v>
      </c>
      <c r="B114" s="7" t="s">
        <v>510</v>
      </c>
      <c r="C114" s="8" t="s">
        <v>54</v>
      </c>
      <c r="D114" s="9" t="s">
        <v>560</v>
      </c>
      <c r="E114" s="9" t="s">
        <v>537</v>
      </c>
      <c r="F114" s="9" t="s">
        <v>561</v>
      </c>
      <c r="G114" s="9" t="s">
        <v>562</v>
      </c>
      <c r="H114" s="10"/>
      <c r="I114" s="7"/>
      <c r="J114" s="7"/>
      <c r="K114" s="9"/>
    </row>
    <row r="115" spans="1:11" ht="25" x14ac:dyDescent="0.35">
      <c r="A115" s="6" t="s">
        <v>563</v>
      </c>
      <c r="B115" s="7" t="s">
        <v>510</v>
      </c>
      <c r="C115" s="8" t="s">
        <v>44</v>
      </c>
      <c r="D115" s="9" t="s">
        <v>564</v>
      </c>
      <c r="E115" s="9" t="s">
        <v>512</v>
      </c>
      <c r="F115" s="9" t="s">
        <v>565</v>
      </c>
      <c r="G115" s="9" t="s">
        <v>566</v>
      </c>
      <c r="H115" s="10"/>
      <c r="I115" s="7"/>
      <c r="J115" s="7"/>
      <c r="K115" s="9"/>
    </row>
    <row r="116" spans="1:11" x14ac:dyDescent="0.35">
      <c r="A116" s="6" t="s">
        <v>567</v>
      </c>
      <c r="B116" s="7" t="s">
        <v>510</v>
      </c>
      <c r="C116" s="8" t="s">
        <v>44</v>
      </c>
      <c r="D116" s="9" t="s">
        <v>568</v>
      </c>
      <c r="E116" s="9" t="s">
        <v>569</v>
      </c>
      <c r="F116" s="9" t="s">
        <v>570</v>
      </c>
      <c r="G116" s="9" t="s">
        <v>571</v>
      </c>
      <c r="H116" s="10"/>
      <c r="I116" s="7"/>
      <c r="J116" s="7"/>
      <c r="K116" s="9"/>
    </row>
    <row r="117" spans="1:11" ht="25" x14ac:dyDescent="0.35">
      <c r="A117" s="6" t="s">
        <v>572</v>
      </c>
      <c r="B117" s="7" t="s">
        <v>510</v>
      </c>
      <c r="C117" s="8" t="s">
        <v>54</v>
      </c>
      <c r="D117" s="9" t="s">
        <v>573</v>
      </c>
      <c r="E117" s="9" t="s">
        <v>512</v>
      </c>
      <c r="F117" s="9" t="s">
        <v>574</v>
      </c>
      <c r="G117" s="9" t="s">
        <v>575</v>
      </c>
      <c r="H117" s="10"/>
      <c r="I117" s="7"/>
      <c r="J117" s="7"/>
      <c r="K117" s="9"/>
    </row>
    <row r="118" spans="1:11" ht="25" x14ac:dyDescent="0.35">
      <c r="A118" s="6" t="s">
        <v>576</v>
      </c>
      <c r="B118" s="7" t="s">
        <v>510</v>
      </c>
      <c r="C118" s="8" t="s">
        <v>44</v>
      </c>
      <c r="D118" s="9" t="s">
        <v>577</v>
      </c>
      <c r="E118" s="9" t="s">
        <v>578</v>
      </c>
      <c r="F118" s="9" t="s">
        <v>579</v>
      </c>
      <c r="G118" s="9" t="s">
        <v>580</v>
      </c>
      <c r="H118" s="10"/>
      <c r="I118" s="7"/>
      <c r="J118" s="7"/>
      <c r="K118" s="9"/>
    </row>
    <row r="119" spans="1:11" ht="25" x14ac:dyDescent="0.35">
      <c r="A119" s="6" t="s">
        <v>581</v>
      </c>
      <c r="B119" s="7" t="s">
        <v>582</v>
      </c>
      <c r="C119" s="8" t="s">
        <v>54</v>
      </c>
      <c r="D119" s="9" t="s">
        <v>583</v>
      </c>
      <c r="E119" s="9" t="s">
        <v>235</v>
      </c>
      <c r="F119" s="9" t="s">
        <v>584</v>
      </c>
      <c r="G119" s="9" t="s">
        <v>585</v>
      </c>
      <c r="H119" s="10"/>
      <c r="I119" s="7"/>
      <c r="J119" s="7"/>
      <c r="K119" s="9"/>
    </row>
    <row r="120" spans="1:11" ht="25" x14ac:dyDescent="0.35">
      <c r="A120" s="6" t="s">
        <v>586</v>
      </c>
      <c r="B120" s="7" t="s">
        <v>582</v>
      </c>
      <c r="C120" s="8" t="s">
        <v>54</v>
      </c>
      <c r="D120" s="9" t="s">
        <v>587</v>
      </c>
      <c r="E120" s="9" t="s">
        <v>512</v>
      </c>
      <c r="F120" s="9" t="s">
        <v>588</v>
      </c>
      <c r="G120" s="9" t="s">
        <v>589</v>
      </c>
      <c r="H120" s="10"/>
      <c r="I120" s="7"/>
      <c r="J120" s="7"/>
      <c r="K120" s="9"/>
    </row>
    <row r="121" spans="1:11" ht="25" x14ac:dyDescent="0.35">
      <c r="A121" s="6" t="s">
        <v>590</v>
      </c>
      <c r="B121" s="7" t="s">
        <v>582</v>
      </c>
      <c r="C121" s="8" t="s">
        <v>54</v>
      </c>
      <c r="D121" s="9" t="s">
        <v>591</v>
      </c>
      <c r="E121" s="9" t="s">
        <v>46</v>
      </c>
      <c r="F121" s="9" t="s">
        <v>592</v>
      </c>
      <c r="G121" s="9" t="s">
        <v>593</v>
      </c>
      <c r="H121" s="10"/>
      <c r="I121" s="7"/>
      <c r="J121" s="7"/>
      <c r="K121" s="9"/>
    </row>
    <row r="122" spans="1:11" ht="25" x14ac:dyDescent="0.35">
      <c r="A122" s="6" t="s">
        <v>594</v>
      </c>
      <c r="B122" s="7" t="s">
        <v>582</v>
      </c>
      <c r="C122" s="8" t="s">
        <v>54</v>
      </c>
      <c r="D122" s="9" t="s">
        <v>595</v>
      </c>
      <c r="E122" s="9" t="s">
        <v>46</v>
      </c>
      <c r="F122" s="9" t="s">
        <v>596</v>
      </c>
      <c r="G122" s="9" t="s">
        <v>597</v>
      </c>
      <c r="H122" s="10"/>
      <c r="I122" s="7"/>
      <c r="J122" s="7"/>
      <c r="K122" s="9"/>
    </row>
    <row r="123" spans="1:11" ht="25" x14ac:dyDescent="0.35">
      <c r="A123" s="6" t="s">
        <v>598</v>
      </c>
      <c r="B123" s="7" t="s">
        <v>582</v>
      </c>
      <c r="C123" s="8" t="s">
        <v>54</v>
      </c>
      <c r="D123" s="9" t="s">
        <v>599</v>
      </c>
      <c r="E123" s="9" t="s">
        <v>235</v>
      </c>
      <c r="F123" s="9" t="s">
        <v>600</v>
      </c>
      <c r="G123" s="9" t="s">
        <v>601</v>
      </c>
      <c r="H123" s="10"/>
      <c r="I123" s="7"/>
      <c r="J123" s="7"/>
      <c r="K123" s="9"/>
    </row>
    <row r="124" spans="1:11" x14ac:dyDescent="0.35">
      <c r="A124" s="6" t="s">
        <v>602</v>
      </c>
      <c r="B124" s="7" t="s">
        <v>582</v>
      </c>
      <c r="C124" s="8" t="s">
        <v>54</v>
      </c>
      <c r="D124" s="9" t="s">
        <v>603</v>
      </c>
      <c r="E124" s="9" t="s">
        <v>115</v>
      </c>
      <c r="F124" s="9" t="s">
        <v>604</v>
      </c>
      <c r="G124" s="9" t="s">
        <v>605</v>
      </c>
      <c r="H124" s="10"/>
      <c r="I124" s="7"/>
      <c r="J124" s="7"/>
      <c r="K124" s="9"/>
    </row>
    <row r="125" spans="1:11" x14ac:dyDescent="0.35">
      <c r="A125" s="6" t="s">
        <v>606</v>
      </c>
      <c r="B125" s="7" t="s">
        <v>582</v>
      </c>
      <c r="C125" s="8" t="s">
        <v>109</v>
      </c>
      <c r="D125" s="9" t="s">
        <v>607</v>
      </c>
      <c r="E125" s="9" t="s">
        <v>46</v>
      </c>
      <c r="F125" s="9" t="s">
        <v>608</v>
      </c>
      <c r="G125" s="9" t="s">
        <v>609</v>
      </c>
      <c r="H125" s="10"/>
      <c r="I125" s="7"/>
      <c r="J125" s="7"/>
      <c r="K125" s="9"/>
    </row>
    <row r="126" spans="1:11" ht="25" x14ac:dyDescent="0.35">
      <c r="A126" s="6" t="s">
        <v>610</v>
      </c>
      <c r="B126" s="7" t="s">
        <v>611</v>
      </c>
      <c r="C126" s="8" t="s">
        <v>44</v>
      </c>
      <c r="D126" s="9" t="s">
        <v>612</v>
      </c>
      <c r="E126" s="9" t="s">
        <v>613</v>
      </c>
      <c r="F126" s="9" t="s">
        <v>614</v>
      </c>
      <c r="G126" s="9" t="s">
        <v>615</v>
      </c>
      <c r="H126" s="10"/>
      <c r="I126" s="7"/>
      <c r="J126" s="7"/>
      <c r="K126" s="9"/>
    </row>
    <row r="127" spans="1:11" ht="25" x14ac:dyDescent="0.35">
      <c r="A127" s="6" t="s">
        <v>616</v>
      </c>
      <c r="B127" s="7" t="s">
        <v>611</v>
      </c>
      <c r="C127" s="8" t="s">
        <v>44</v>
      </c>
      <c r="D127" s="9" t="s">
        <v>617</v>
      </c>
      <c r="E127" s="9" t="s">
        <v>618</v>
      </c>
      <c r="F127" s="9" t="s">
        <v>619</v>
      </c>
      <c r="G127" s="9" t="s">
        <v>620</v>
      </c>
      <c r="H127" s="10"/>
      <c r="I127" s="7"/>
      <c r="J127" s="7"/>
      <c r="K127" s="9"/>
    </row>
    <row r="128" spans="1:11" x14ac:dyDescent="0.35">
      <c r="A128" s="6" t="s">
        <v>621</v>
      </c>
      <c r="B128" s="7" t="s">
        <v>611</v>
      </c>
      <c r="C128" s="8" t="s">
        <v>54</v>
      </c>
      <c r="D128" s="9" t="s">
        <v>622</v>
      </c>
      <c r="E128" s="9" t="s">
        <v>623</v>
      </c>
      <c r="F128" s="9" t="s">
        <v>624</v>
      </c>
      <c r="G128" s="9" t="s">
        <v>625</v>
      </c>
      <c r="H128" s="10"/>
      <c r="I128" s="7"/>
      <c r="J128" s="7"/>
      <c r="K128" s="9"/>
    </row>
    <row r="129" spans="1:11" x14ac:dyDescent="0.35">
      <c r="A129" s="6" t="s">
        <v>626</v>
      </c>
      <c r="B129" s="7" t="s">
        <v>611</v>
      </c>
      <c r="C129" s="8" t="s">
        <v>54</v>
      </c>
      <c r="D129" s="9" t="s">
        <v>627</v>
      </c>
      <c r="E129" s="9" t="s">
        <v>623</v>
      </c>
      <c r="F129" s="9" t="s">
        <v>628</v>
      </c>
      <c r="G129" s="9" t="s">
        <v>629</v>
      </c>
      <c r="H129" s="10"/>
      <c r="I129" s="7"/>
      <c r="J129" s="7"/>
      <c r="K129" s="9"/>
    </row>
    <row r="130" spans="1:11" ht="25" x14ac:dyDescent="0.35">
      <c r="A130" s="6" t="s">
        <v>630</v>
      </c>
      <c r="B130" s="7" t="s">
        <v>631</v>
      </c>
      <c r="C130" s="8" t="s">
        <v>44</v>
      </c>
      <c r="D130" s="9" t="s">
        <v>632</v>
      </c>
      <c r="E130" s="9" t="s">
        <v>46</v>
      </c>
      <c r="F130" s="9" t="s">
        <v>633</v>
      </c>
      <c r="G130" s="9" t="s">
        <v>634</v>
      </c>
      <c r="H130" s="10"/>
      <c r="I130" s="7"/>
      <c r="J130" s="7"/>
      <c r="K130" s="9"/>
    </row>
    <row r="131" spans="1:11" ht="25" x14ac:dyDescent="0.35">
      <c r="A131" s="6" t="s">
        <v>635</v>
      </c>
      <c r="B131" s="7" t="s">
        <v>631</v>
      </c>
      <c r="C131" s="8" t="s">
        <v>44</v>
      </c>
      <c r="D131" s="9" t="s">
        <v>636</v>
      </c>
      <c r="E131" s="9" t="s">
        <v>137</v>
      </c>
      <c r="F131" s="9" t="s">
        <v>637</v>
      </c>
      <c r="G131" s="9" t="s">
        <v>638</v>
      </c>
      <c r="H131" s="10"/>
      <c r="I131" s="7"/>
      <c r="J131" s="7"/>
      <c r="K131" s="9"/>
    </row>
    <row r="132" spans="1:11" ht="25" x14ac:dyDescent="0.35">
      <c r="A132" s="6" t="s">
        <v>639</v>
      </c>
      <c r="B132" s="7" t="s">
        <v>631</v>
      </c>
      <c r="C132" s="8" t="s">
        <v>44</v>
      </c>
      <c r="D132" s="9" t="s">
        <v>640</v>
      </c>
      <c r="E132" s="9" t="s">
        <v>641</v>
      </c>
      <c r="F132" s="9" t="s">
        <v>642</v>
      </c>
      <c r="G132" s="9" t="s">
        <v>643</v>
      </c>
      <c r="H132" s="10"/>
      <c r="I132" s="7"/>
      <c r="J132" s="7"/>
      <c r="K132" s="9"/>
    </row>
    <row r="133" spans="1:11" ht="25" x14ac:dyDescent="0.35">
      <c r="A133" s="6" t="s">
        <v>644</v>
      </c>
      <c r="B133" s="7" t="s">
        <v>631</v>
      </c>
      <c r="C133" s="8" t="s">
        <v>54</v>
      </c>
      <c r="D133" s="9" t="s">
        <v>645</v>
      </c>
      <c r="E133" s="9" t="s">
        <v>235</v>
      </c>
      <c r="F133" s="9" t="s">
        <v>646</v>
      </c>
      <c r="G133" s="9" t="s">
        <v>647</v>
      </c>
      <c r="H133" s="10"/>
      <c r="I133" s="7"/>
      <c r="J133" s="7"/>
      <c r="K133" s="9"/>
    </row>
    <row r="134" spans="1:11" ht="25" x14ac:dyDescent="0.35">
      <c r="A134" s="6" t="s">
        <v>648</v>
      </c>
      <c r="B134" s="7" t="s">
        <v>631</v>
      </c>
      <c r="C134" s="8" t="s">
        <v>54</v>
      </c>
      <c r="D134" s="9" t="s">
        <v>649</v>
      </c>
      <c r="E134" s="9" t="s">
        <v>235</v>
      </c>
      <c r="F134" s="9" t="s">
        <v>650</v>
      </c>
      <c r="G134" s="9" t="s">
        <v>651</v>
      </c>
      <c r="H134" s="10"/>
      <c r="I134" s="7"/>
      <c r="J134" s="7"/>
      <c r="K134" s="9"/>
    </row>
  </sheetData>
  <autoFilter ref="A1:K134" xr:uid="{00000000-0009-0000-0000-000001000000}"/>
  <conditionalFormatting sqref="C2:C134">
    <cfRule type="cellIs" dxfId="4" priority="5" operator="equal">
      <formula>"High"</formula>
    </cfRule>
  </conditionalFormatting>
  <conditionalFormatting sqref="H2:H134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"N/A"</formula>
    </cfRule>
  </conditionalFormatting>
  <dataValidations count="1">
    <dataValidation type="list" allowBlank="1" errorTitle="Invalid result" error="Choose Pass, Fail, Blocked or N/A." promptTitle="Result" prompt="Mark the outcome of this test." sqref="H2:H134" xr:uid="{00000000-0002-0000-0100-000000000000}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/>
  </sheetViews>
  <sheetFormatPr defaultRowHeight="14.5" x14ac:dyDescent="0.35"/>
  <cols>
    <col min="1" max="1" width="30" customWidth="1"/>
    <col min="2" max="6" width="10" customWidth="1"/>
  </cols>
  <sheetData>
    <row r="1" spans="1:2" ht="18" x14ac:dyDescent="0.4">
      <c r="A1" s="1" t="s">
        <v>652</v>
      </c>
    </row>
    <row r="3" spans="1:2" x14ac:dyDescent="0.35">
      <c r="A3" s="11" t="s">
        <v>653</v>
      </c>
      <c r="B3" s="12"/>
    </row>
    <row r="4" spans="1:2" x14ac:dyDescent="0.35">
      <c r="A4" s="11" t="s">
        <v>654</v>
      </c>
      <c r="B4" s="12" t="s">
        <v>655</v>
      </c>
    </row>
    <row r="5" spans="1:2" x14ac:dyDescent="0.35">
      <c r="A5" s="11" t="s">
        <v>656</v>
      </c>
      <c r="B5" s="12"/>
    </row>
    <row r="6" spans="1:2" x14ac:dyDescent="0.35">
      <c r="A6" s="11" t="s">
        <v>657</v>
      </c>
      <c r="B6" s="12"/>
    </row>
    <row r="8" spans="1:2" x14ac:dyDescent="0.35">
      <c r="A8" s="13" t="s">
        <v>658</v>
      </c>
    </row>
    <row r="9" spans="1:2" x14ac:dyDescent="0.35">
      <c r="A9" s="14" t="s">
        <v>659</v>
      </c>
      <c r="B9" s="11">
        <f>COUNTA('Test Cases'!A2:A134)</f>
        <v>133</v>
      </c>
    </row>
    <row r="10" spans="1:2" x14ac:dyDescent="0.35">
      <c r="A10" s="14" t="s">
        <v>660</v>
      </c>
      <c r="B10" s="11">
        <f>COUNTIF('Test Cases'!H2:H134,"Pass")</f>
        <v>0</v>
      </c>
    </row>
    <row r="11" spans="1:2" x14ac:dyDescent="0.35">
      <c r="A11" s="14" t="s">
        <v>661</v>
      </c>
      <c r="B11" s="11">
        <f>COUNTIF('Test Cases'!H2:H134,"Fail")</f>
        <v>0</v>
      </c>
    </row>
    <row r="12" spans="1:2" x14ac:dyDescent="0.35">
      <c r="A12" s="14" t="s">
        <v>662</v>
      </c>
      <c r="B12" s="11">
        <f>COUNTIF('Test Cases'!H2:H134,"Blocked")</f>
        <v>0</v>
      </c>
    </row>
    <row r="13" spans="1:2" x14ac:dyDescent="0.35">
      <c r="A13" s="14" t="s">
        <v>663</v>
      </c>
      <c r="B13" s="11">
        <f>COUNTIF('Test Cases'!H2:H134,"N/A")</f>
        <v>0</v>
      </c>
    </row>
    <row r="14" spans="1:2" x14ac:dyDescent="0.35">
      <c r="A14" s="14" t="s">
        <v>664</v>
      </c>
      <c r="B14" s="11">
        <f>B9-B10-B11-B12-B13</f>
        <v>133</v>
      </c>
    </row>
    <row r="15" spans="1:2" x14ac:dyDescent="0.35">
      <c r="A15" s="14" t="s">
        <v>665</v>
      </c>
      <c r="B15" s="15">
        <f>IFERROR(B10/(B10+B11),0)</f>
        <v>0</v>
      </c>
    </row>
    <row r="17" spans="1:6" x14ac:dyDescent="0.35">
      <c r="A17" s="13" t="s">
        <v>666</v>
      </c>
    </row>
    <row r="18" spans="1:6" x14ac:dyDescent="0.35">
      <c r="A18" s="14" t="s">
        <v>667</v>
      </c>
      <c r="B18" s="11">
        <f>COUNTIF('Test Cases'!C2:C134,"High")</f>
        <v>82</v>
      </c>
    </row>
    <row r="19" spans="1:6" x14ac:dyDescent="0.35">
      <c r="A19" s="14" t="s">
        <v>668</v>
      </c>
      <c r="B19" s="11">
        <f>COUNTIFS('Test Cases'!C2:C134,"High",'Test Cases'!H2:H134,"Pass")</f>
        <v>0</v>
      </c>
    </row>
    <row r="20" spans="1:6" x14ac:dyDescent="0.35">
      <c r="A20" s="14" t="s">
        <v>669</v>
      </c>
      <c r="B20" s="11">
        <f>COUNTIFS('Test Cases'!C2:C134,"High",'Test Cases'!H2:H134,"Fail")</f>
        <v>0</v>
      </c>
    </row>
    <row r="22" spans="1:6" x14ac:dyDescent="0.35">
      <c r="A22" s="13" t="s">
        <v>670</v>
      </c>
    </row>
    <row r="23" spans="1:6" x14ac:dyDescent="0.35">
      <c r="A23" s="16" t="s">
        <v>33</v>
      </c>
      <c r="B23" s="16" t="s">
        <v>671</v>
      </c>
      <c r="C23" s="16" t="s">
        <v>672</v>
      </c>
      <c r="D23" s="16" t="s">
        <v>673</v>
      </c>
      <c r="E23" s="16" t="s">
        <v>662</v>
      </c>
      <c r="F23" s="16" t="s">
        <v>674</v>
      </c>
    </row>
    <row r="24" spans="1:6" x14ac:dyDescent="0.35">
      <c r="A24" s="14" t="s">
        <v>43</v>
      </c>
      <c r="B24" s="17">
        <f>COUNTIF('Test Cases'!B2:B134,A24)</f>
        <v>18</v>
      </c>
      <c r="C24" s="17">
        <f>COUNTIFS('Test Cases'!B2:B134,A24,'Test Cases'!H2:H134,"Pass")</f>
        <v>0</v>
      </c>
      <c r="D24" s="17">
        <f>COUNTIFS('Test Cases'!B2:B134,A24,'Test Cases'!H2:H134,"Fail")</f>
        <v>0</v>
      </c>
      <c r="E24" s="17">
        <f>COUNTIFS('Test Cases'!B2:B134,A24,'Test Cases'!H2:H134,"Blocked")</f>
        <v>0</v>
      </c>
      <c r="F24" s="17">
        <f t="shared" ref="F24:F37" si="0">B24-C24-D24-E24</f>
        <v>18</v>
      </c>
    </row>
    <row r="25" spans="1:6" x14ac:dyDescent="0.35">
      <c r="A25" s="14" t="s">
        <v>124</v>
      </c>
      <c r="B25" s="17">
        <f>COUNTIF('Test Cases'!B2:B134,A25)</f>
        <v>7</v>
      </c>
      <c r="C25" s="17">
        <f>COUNTIFS('Test Cases'!B2:B134,A25,'Test Cases'!H2:H134,"Pass")</f>
        <v>0</v>
      </c>
      <c r="D25" s="17">
        <f>COUNTIFS('Test Cases'!B2:B134,A25,'Test Cases'!H2:H134,"Fail")</f>
        <v>0</v>
      </c>
      <c r="E25" s="17">
        <f>COUNTIFS('Test Cases'!B2:B134,A25,'Test Cases'!H2:H134,"Blocked")</f>
        <v>0</v>
      </c>
      <c r="F25" s="17">
        <f t="shared" si="0"/>
        <v>7</v>
      </c>
    </row>
    <row r="26" spans="1:6" x14ac:dyDescent="0.35">
      <c r="A26" s="14" t="s">
        <v>154</v>
      </c>
      <c r="B26" s="17">
        <f>COUNTIF('Test Cases'!B2:B134,A26)</f>
        <v>11</v>
      </c>
      <c r="C26" s="17">
        <f>COUNTIFS('Test Cases'!B2:B134,A26,'Test Cases'!H2:H134,"Pass")</f>
        <v>0</v>
      </c>
      <c r="D26" s="17">
        <f>COUNTIFS('Test Cases'!B2:B134,A26,'Test Cases'!H2:H134,"Fail")</f>
        <v>0</v>
      </c>
      <c r="E26" s="17">
        <f>COUNTIFS('Test Cases'!B2:B134,A26,'Test Cases'!H2:H134,"Blocked")</f>
        <v>0</v>
      </c>
      <c r="F26" s="17">
        <f t="shared" si="0"/>
        <v>11</v>
      </c>
    </row>
    <row r="27" spans="1:6" x14ac:dyDescent="0.35">
      <c r="A27" s="14" t="s">
        <v>205</v>
      </c>
      <c r="B27" s="17">
        <f>COUNTIF('Test Cases'!B2:B134,A27)</f>
        <v>10</v>
      </c>
      <c r="C27" s="17">
        <f>COUNTIFS('Test Cases'!B2:B134,A27,'Test Cases'!H2:H134,"Pass")</f>
        <v>0</v>
      </c>
      <c r="D27" s="17">
        <f>COUNTIFS('Test Cases'!B2:B134,A27,'Test Cases'!H2:H134,"Fail")</f>
        <v>0</v>
      </c>
      <c r="E27" s="17">
        <f>COUNTIFS('Test Cases'!B2:B134,A27,'Test Cases'!H2:H134,"Blocked")</f>
        <v>0</v>
      </c>
      <c r="F27" s="17">
        <f t="shared" si="0"/>
        <v>10</v>
      </c>
    </row>
    <row r="28" spans="1:6" x14ac:dyDescent="0.35">
      <c r="A28" s="14" t="s">
        <v>251</v>
      </c>
      <c r="B28" s="17">
        <f>COUNTIF('Test Cases'!B2:B134,A28)</f>
        <v>11</v>
      </c>
      <c r="C28" s="17">
        <f>COUNTIFS('Test Cases'!B2:B134,A28,'Test Cases'!H2:H134,"Pass")</f>
        <v>0</v>
      </c>
      <c r="D28" s="17">
        <f>COUNTIFS('Test Cases'!B2:B134,A28,'Test Cases'!H2:H134,"Fail")</f>
        <v>0</v>
      </c>
      <c r="E28" s="17">
        <f>COUNTIFS('Test Cases'!B2:B134,A28,'Test Cases'!H2:H134,"Blocked")</f>
        <v>0</v>
      </c>
      <c r="F28" s="17">
        <f t="shared" si="0"/>
        <v>11</v>
      </c>
    </row>
    <row r="29" spans="1:6" x14ac:dyDescent="0.35">
      <c r="A29" s="14" t="s">
        <v>301</v>
      </c>
      <c r="B29" s="17">
        <f>COUNTIF('Test Cases'!B2:B134,A29)</f>
        <v>9</v>
      </c>
      <c r="C29" s="17">
        <f>COUNTIFS('Test Cases'!B2:B134,A29,'Test Cases'!H2:H134,"Pass")</f>
        <v>0</v>
      </c>
      <c r="D29" s="17">
        <f>COUNTIFS('Test Cases'!B2:B134,A29,'Test Cases'!H2:H134,"Fail")</f>
        <v>0</v>
      </c>
      <c r="E29" s="17">
        <f>COUNTIFS('Test Cases'!B2:B134,A29,'Test Cases'!H2:H134,"Blocked")</f>
        <v>0</v>
      </c>
      <c r="F29" s="17">
        <f t="shared" si="0"/>
        <v>9</v>
      </c>
    </row>
    <row r="30" spans="1:6" x14ac:dyDescent="0.35">
      <c r="A30" s="14" t="s">
        <v>343</v>
      </c>
      <c r="B30" s="17">
        <f>COUNTIF('Test Cases'!B2:B134,A30)</f>
        <v>8</v>
      </c>
      <c r="C30" s="17">
        <f>COUNTIFS('Test Cases'!B2:B134,A30,'Test Cases'!H2:H134,"Pass")</f>
        <v>0</v>
      </c>
      <c r="D30" s="17">
        <f>COUNTIFS('Test Cases'!B2:B134,A30,'Test Cases'!H2:H134,"Fail")</f>
        <v>0</v>
      </c>
      <c r="E30" s="17">
        <f>COUNTIFS('Test Cases'!B2:B134,A30,'Test Cases'!H2:H134,"Blocked")</f>
        <v>0</v>
      </c>
      <c r="F30" s="17">
        <f t="shared" si="0"/>
        <v>8</v>
      </c>
    </row>
    <row r="31" spans="1:6" x14ac:dyDescent="0.35">
      <c r="A31" s="14" t="s">
        <v>379</v>
      </c>
      <c r="B31" s="17">
        <f>COUNTIF('Test Cases'!B2:B134,A31)</f>
        <v>10</v>
      </c>
      <c r="C31" s="17">
        <f>COUNTIFS('Test Cases'!B2:B134,A31,'Test Cases'!H2:H134,"Pass")</f>
        <v>0</v>
      </c>
      <c r="D31" s="17">
        <f>COUNTIFS('Test Cases'!B2:B134,A31,'Test Cases'!H2:H134,"Fail")</f>
        <v>0</v>
      </c>
      <c r="E31" s="17">
        <f>COUNTIFS('Test Cases'!B2:B134,A31,'Test Cases'!H2:H134,"Blocked")</f>
        <v>0</v>
      </c>
      <c r="F31" s="17">
        <f t="shared" si="0"/>
        <v>10</v>
      </c>
    </row>
    <row r="32" spans="1:6" x14ac:dyDescent="0.35">
      <c r="A32" s="14" t="s">
        <v>425</v>
      </c>
      <c r="B32" s="17">
        <f>COUNTIF('Test Cases'!B2:B134,A32)</f>
        <v>6</v>
      </c>
      <c r="C32" s="17">
        <f>COUNTIFS('Test Cases'!B2:B134,A32,'Test Cases'!H2:H134,"Pass")</f>
        <v>0</v>
      </c>
      <c r="D32" s="17">
        <f>COUNTIFS('Test Cases'!B2:B134,A32,'Test Cases'!H2:H134,"Fail")</f>
        <v>0</v>
      </c>
      <c r="E32" s="17">
        <f>COUNTIFS('Test Cases'!B2:B134,A32,'Test Cases'!H2:H134,"Blocked")</f>
        <v>0</v>
      </c>
      <c r="F32" s="17">
        <f t="shared" si="0"/>
        <v>6</v>
      </c>
    </row>
    <row r="33" spans="1:6" x14ac:dyDescent="0.35">
      <c r="A33" s="14" t="s">
        <v>455</v>
      </c>
      <c r="B33" s="17">
        <f>COUNTIF('Test Cases'!B2:B134,A33)</f>
        <v>12</v>
      </c>
      <c r="C33" s="17">
        <f>COUNTIFS('Test Cases'!B2:B134,A33,'Test Cases'!H2:H134,"Pass")</f>
        <v>0</v>
      </c>
      <c r="D33" s="17">
        <f>COUNTIFS('Test Cases'!B2:B134,A33,'Test Cases'!H2:H134,"Fail")</f>
        <v>0</v>
      </c>
      <c r="E33" s="17">
        <f>COUNTIFS('Test Cases'!B2:B134,A33,'Test Cases'!H2:H134,"Blocked")</f>
        <v>0</v>
      </c>
      <c r="F33" s="17">
        <f t="shared" si="0"/>
        <v>12</v>
      </c>
    </row>
    <row r="34" spans="1:6" x14ac:dyDescent="0.35">
      <c r="A34" s="14" t="s">
        <v>510</v>
      </c>
      <c r="B34" s="17">
        <f>COUNTIF('Test Cases'!B2:B134,A34)</f>
        <v>15</v>
      </c>
      <c r="C34" s="17">
        <f>COUNTIFS('Test Cases'!B2:B134,A34,'Test Cases'!H2:H134,"Pass")</f>
        <v>0</v>
      </c>
      <c r="D34" s="17">
        <f>COUNTIFS('Test Cases'!B2:B134,A34,'Test Cases'!H2:H134,"Fail")</f>
        <v>0</v>
      </c>
      <c r="E34" s="17">
        <f>COUNTIFS('Test Cases'!B2:B134,A34,'Test Cases'!H2:H134,"Blocked")</f>
        <v>0</v>
      </c>
      <c r="F34" s="17">
        <f t="shared" si="0"/>
        <v>15</v>
      </c>
    </row>
    <row r="35" spans="1:6" x14ac:dyDescent="0.35">
      <c r="A35" s="14" t="s">
        <v>582</v>
      </c>
      <c r="B35" s="17">
        <f>COUNTIF('Test Cases'!B2:B134,A35)</f>
        <v>7</v>
      </c>
      <c r="C35" s="17">
        <f>COUNTIFS('Test Cases'!B2:B134,A35,'Test Cases'!H2:H134,"Pass")</f>
        <v>0</v>
      </c>
      <c r="D35" s="17">
        <f>COUNTIFS('Test Cases'!B2:B134,A35,'Test Cases'!H2:H134,"Fail")</f>
        <v>0</v>
      </c>
      <c r="E35" s="17">
        <f>COUNTIFS('Test Cases'!B2:B134,A35,'Test Cases'!H2:H134,"Blocked")</f>
        <v>0</v>
      </c>
      <c r="F35" s="17">
        <f t="shared" si="0"/>
        <v>7</v>
      </c>
    </row>
    <row r="36" spans="1:6" x14ac:dyDescent="0.35">
      <c r="A36" s="14" t="s">
        <v>611</v>
      </c>
      <c r="B36" s="17">
        <f>COUNTIF('Test Cases'!B2:B134,A36)</f>
        <v>4</v>
      </c>
      <c r="C36" s="17">
        <f>COUNTIFS('Test Cases'!B2:B134,A36,'Test Cases'!H2:H134,"Pass")</f>
        <v>0</v>
      </c>
      <c r="D36" s="17">
        <f>COUNTIFS('Test Cases'!B2:B134,A36,'Test Cases'!H2:H134,"Fail")</f>
        <v>0</v>
      </c>
      <c r="E36" s="17">
        <f>COUNTIFS('Test Cases'!B2:B134,A36,'Test Cases'!H2:H134,"Blocked")</f>
        <v>0</v>
      </c>
      <c r="F36" s="17">
        <f t="shared" si="0"/>
        <v>4</v>
      </c>
    </row>
    <row r="37" spans="1:6" x14ac:dyDescent="0.35">
      <c r="A37" s="14" t="s">
        <v>631</v>
      </c>
      <c r="B37" s="17">
        <f>COUNTIF('Test Cases'!B2:B134,A37)</f>
        <v>5</v>
      </c>
      <c r="C37" s="17">
        <f>COUNTIFS('Test Cases'!B2:B134,A37,'Test Cases'!H2:H134,"Pass")</f>
        <v>0</v>
      </c>
      <c r="D37" s="17">
        <f>COUNTIFS('Test Cases'!B2:B134,A37,'Test Cases'!H2:H134,"Fail")</f>
        <v>0</v>
      </c>
      <c r="E37" s="17">
        <f>COUNTIFS('Test Cases'!B2:B134,A37,'Test Cases'!H2:H134,"Blocked")</f>
        <v>0</v>
      </c>
      <c r="F37" s="17">
        <f t="shared" si="0"/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test</vt:lpstr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Asad Shah</cp:lastModifiedBy>
  <dcterms:created xsi:type="dcterms:W3CDTF">2026-08-27T06:31:04Z</dcterms:created>
  <dcterms:modified xsi:type="dcterms:W3CDTF">2026-08-27T06:33:23Z</dcterms:modified>
</cp:coreProperties>
</file>